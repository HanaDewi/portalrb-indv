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092A6ED-8348-4499-8403-3266D8C2021D}" xr6:coauthVersionLast="47" xr6:coauthVersionMax="47" xr10:uidLastSave="{00000000-0000-0000-0000-000000000000}"/>
  <bookViews>
    <workbookView xWindow="-110" yWindow="-110" windowWidth="19420" windowHeight="10300" tabRatio="500" firstSheet="4" activeTab="4" xr2:uid="{00000000-000D-0000-FFFF-FFFF00000000}"/>
  </bookViews>
  <sheets>
    <sheet name="Sheet1" sheetId="1" state="veryHidden" r:id="rId1"/>
    <sheet name="Sheet5" sheetId="5" state="veryHidden" r:id="rId2"/>
    <sheet name="Sheet2" sheetId="2" state="veryHidden" r:id="rId3"/>
    <sheet name="Sheet3" sheetId="3" state="veryHidden" r:id="rId4"/>
    <sheet name="ZI Meso 2024" sheetId="4" r:id="rId5"/>
  </sheets>
  <definedNames>
    <definedName name="_xlnm._FilterDatabase" localSheetId="0" hidden="1">Sheet1!$A$1:$C$290</definedName>
    <definedName name="_xlnm._FilterDatabase" localSheetId="2" hidden="1">Sheet2!$A$1:$C$290</definedName>
    <definedName name="_xlnm._FilterDatabase" localSheetId="3" hidden="1">Sheet3!$A$5:$P$308</definedName>
    <definedName name="_xlnm._FilterDatabase" localSheetId="1" hidden="1">Sheet5!$A$1:$E$290</definedName>
    <definedName name="_xlnm._FilterDatabase" localSheetId="4" hidden="1">'ZI Meso 2024'!$A$2:$O$650</definedName>
  </definedNames>
  <calcPr calcId="191029"/>
</workbook>
</file>

<file path=xl/calcChain.xml><?xml version="1.0" encoding="utf-8"?>
<calcChain xmlns="http://schemas.openxmlformats.org/spreadsheetml/2006/main">
  <c r="K627" i="4" l="1"/>
  <c r="K619" i="4"/>
  <c r="K611" i="4"/>
  <c r="K603" i="4"/>
  <c r="K583" i="4"/>
  <c r="K579" i="4"/>
  <c r="K571" i="4"/>
  <c r="K563" i="4"/>
  <c r="K555" i="4"/>
  <c r="K547" i="4"/>
  <c r="K543" i="4"/>
  <c r="K539" i="4"/>
  <c r="K535" i="4"/>
  <c r="K531" i="4"/>
  <c r="K527" i="4"/>
  <c r="K523" i="4"/>
  <c r="K519" i="4"/>
  <c r="K515" i="4"/>
  <c r="K507" i="4"/>
  <c r="K499" i="4"/>
  <c r="K491" i="4"/>
  <c r="K487" i="4"/>
  <c r="K483" i="4"/>
  <c r="K479" i="4"/>
  <c r="K475" i="4"/>
  <c r="K471" i="4"/>
  <c r="K467" i="4"/>
  <c r="K463" i="4"/>
  <c r="K459" i="4"/>
  <c r="K455" i="4"/>
  <c r="K451" i="4"/>
  <c r="K443" i="4"/>
  <c r="K439" i="4"/>
  <c r="K435" i="4"/>
  <c r="K431" i="4"/>
  <c r="K427" i="4"/>
  <c r="K423" i="4"/>
  <c r="K419" i="4"/>
  <c r="K415" i="4"/>
  <c r="K407" i="4"/>
  <c r="K403" i="4"/>
  <c r="K399" i="4"/>
  <c r="K395" i="4"/>
  <c r="K391" i="4"/>
  <c r="K387" i="4"/>
  <c r="K383" i="4"/>
  <c r="K379" i="4"/>
  <c r="K375" i="4"/>
  <c r="K371" i="4"/>
  <c r="K367" i="4"/>
  <c r="K363" i="4"/>
  <c r="K359" i="4"/>
  <c r="K355" i="4"/>
  <c r="K351" i="4"/>
  <c r="K343" i="4"/>
  <c r="K339" i="4"/>
  <c r="K335" i="4"/>
  <c r="K331" i="4"/>
  <c r="K327" i="4"/>
  <c r="K323" i="4"/>
  <c r="K315" i="4"/>
  <c r="K307" i="4"/>
  <c r="K303" i="4"/>
  <c r="K299" i="4"/>
  <c r="K295" i="4"/>
  <c r="K291" i="4"/>
  <c r="K287" i="4"/>
  <c r="K283" i="4"/>
  <c r="K279" i="4"/>
  <c r="K275" i="4"/>
  <c r="K271" i="4"/>
  <c r="K267" i="4"/>
  <c r="K263" i="4"/>
  <c r="K259" i="4"/>
  <c r="K255" i="4"/>
  <c r="K251" i="4"/>
  <c r="K247" i="4"/>
  <c r="K243" i="4"/>
  <c r="K239" i="4"/>
  <c r="K235" i="4"/>
  <c r="K227" i="4"/>
  <c r="K219" i="4"/>
  <c r="K215" i="4"/>
  <c r="K211" i="4"/>
  <c r="K207" i="4"/>
  <c r="K203" i="4"/>
  <c r="K199" i="4"/>
  <c r="K195" i="4"/>
  <c r="K191" i="4"/>
  <c r="K183" i="4"/>
  <c r="K179" i="4"/>
  <c r="K175" i="4"/>
  <c r="K167" i="4"/>
  <c r="K163" i="4"/>
  <c r="K159" i="4"/>
  <c r="K155" i="4"/>
  <c r="K151" i="4"/>
  <c r="K147" i="4"/>
  <c r="K143" i="4"/>
  <c r="K139" i="4"/>
  <c r="K135" i="4"/>
  <c r="K131" i="4"/>
  <c r="K127" i="4"/>
  <c r="K123" i="4"/>
  <c r="J121" i="4"/>
  <c r="K119" i="4"/>
  <c r="K115" i="4"/>
  <c r="K113" i="4"/>
  <c r="K111" i="4"/>
  <c r="J109" i="4"/>
  <c r="J105" i="4"/>
  <c r="K103" i="4"/>
  <c r="K101" i="4"/>
  <c r="K95" i="4"/>
  <c r="J93" i="4"/>
  <c r="K91" i="4"/>
  <c r="K90" i="4"/>
  <c r="J89" i="4"/>
  <c r="K87" i="4"/>
  <c r="K85" i="4"/>
  <c r="K83" i="4"/>
  <c r="J81" i="4"/>
  <c r="K79" i="4"/>
  <c r="J77" i="4"/>
  <c r="K75" i="4"/>
  <c r="K73" i="4"/>
  <c r="J73" i="4"/>
  <c r="K71" i="4"/>
  <c r="J69" i="4"/>
  <c r="K67" i="4"/>
  <c r="K65" i="4"/>
  <c r="J65" i="4"/>
  <c r="K63" i="4"/>
  <c r="J61" i="4"/>
  <c r="K59" i="4"/>
  <c r="K57" i="4"/>
  <c r="K55" i="4"/>
  <c r="K54" i="4"/>
  <c r="K53" i="4"/>
  <c r="J53" i="4"/>
  <c r="K51" i="4"/>
  <c r="K47" i="4"/>
  <c r="K45" i="4"/>
  <c r="J45" i="4"/>
  <c r="K43" i="4"/>
  <c r="J42" i="4"/>
  <c r="K41" i="4"/>
  <c r="J41" i="4"/>
  <c r="K39" i="4"/>
  <c r="J38" i="4"/>
  <c r="J37" i="4"/>
  <c r="K34" i="4"/>
  <c r="K33" i="4"/>
  <c r="K31" i="4"/>
  <c r="J29" i="4"/>
  <c r="K27" i="4"/>
  <c r="K25" i="4"/>
  <c r="J25" i="4"/>
  <c r="K23" i="4"/>
  <c r="K22" i="4"/>
  <c r="K21" i="4"/>
  <c r="J21" i="4"/>
  <c r="K19" i="4"/>
  <c r="K18" i="4"/>
  <c r="K17" i="4"/>
  <c r="J17" i="4"/>
  <c r="K15" i="4"/>
  <c r="K14" i="4"/>
  <c r="J13" i="4"/>
  <c r="K11" i="4"/>
  <c r="J10" i="4"/>
  <c r="K9" i="4"/>
  <c r="J9" i="4"/>
  <c r="K7" i="4"/>
  <c r="K5" i="4"/>
  <c r="J540" i="4"/>
  <c r="K608" i="4"/>
  <c r="J6" i="4"/>
  <c r="J14" i="4"/>
  <c r="J22" i="4"/>
  <c r="J34" i="4"/>
  <c r="J46" i="4"/>
  <c r="J50" i="4"/>
  <c r="J54" i="4"/>
  <c r="J58" i="4"/>
  <c r="J62" i="4"/>
  <c r="J66" i="4"/>
  <c r="J74" i="4"/>
  <c r="J82" i="4"/>
  <c r="J86" i="4"/>
  <c r="J90" i="4"/>
  <c r="J94" i="4"/>
  <c r="J98" i="4"/>
  <c r="J102" i="4"/>
  <c r="J106" i="4"/>
  <c r="J110" i="4"/>
  <c r="J114" i="4"/>
  <c r="J118" i="4"/>
  <c r="J126" i="4"/>
  <c r="J130" i="4"/>
  <c r="J134" i="4"/>
  <c r="J142" i="4"/>
  <c r="J146" i="4"/>
  <c r="J150" i="4"/>
  <c r="J154" i="4"/>
  <c r="J158" i="4"/>
  <c r="J162" i="4"/>
  <c r="J166" i="4"/>
  <c r="J170" i="4"/>
  <c r="J178" i="4"/>
  <c r="J186" i="4"/>
  <c r="J190" i="4"/>
  <c r="J194" i="4"/>
  <c r="J202" i="4"/>
  <c r="J206" i="4"/>
  <c r="J218" i="4"/>
  <c r="J222" i="4"/>
  <c r="J226" i="4"/>
  <c r="J230" i="4"/>
  <c r="J234" i="4"/>
  <c r="J238" i="4"/>
  <c r="J242" i="4"/>
  <c r="J246" i="4"/>
  <c r="J250" i="4"/>
  <c r="J254" i="4"/>
  <c r="J262" i="4"/>
  <c r="J266" i="4"/>
  <c r="J270" i="4"/>
  <c r="J274" i="4"/>
  <c r="J278" i="4"/>
  <c r="J286" i="4"/>
  <c r="J294" i="4"/>
  <c r="J298" i="4"/>
  <c r="J302" i="4"/>
  <c r="J310" i="4"/>
  <c r="J314" i="4"/>
  <c r="J318" i="4"/>
  <c r="J322" i="4"/>
  <c r="J334" i="4"/>
  <c r="J338" i="4"/>
  <c r="J342" i="4"/>
  <c r="J350" i="4"/>
  <c r="J354" i="4"/>
  <c r="J358" i="4"/>
  <c r="J366" i="4"/>
  <c r="J370" i="4"/>
  <c r="J374" i="4"/>
  <c r="J378" i="4"/>
  <c r="J382" i="4"/>
  <c r="J386" i="4"/>
  <c r="J390" i="4"/>
  <c r="J394" i="4"/>
  <c r="J398" i="4"/>
  <c r="J402" i="4"/>
  <c r="J406" i="4"/>
  <c r="J410" i="4"/>
  <c r="J414" i="4"/>
  <c r="J426" i="4"/>
  <c r="J430" i="4"/>
  <c r="J434" i="4"/>
  <c r="J442" i="4"/>
  <c r="J446" i="4"/>
  <c r="J450" i="4"/>
  <c r="J454" i="4"/>
  <c r="J458" i="4"/>
  <c r="J462" i="4"/>
  <c r="K464" i="4"/>
  <c r="J466" i="4"/>
  <c r="J470" i="4"/>
  <c r="J474" i="4"/>
  <c r="J478" i="4"/>
  <c r="K480" i="4"/>
  <c r="J482" i="4"/>
  <c r="J486" i="4"/>
  <c r="J490" i="4"/>
  <c r="K496" i="4"/>
  <c r="J498" i="4"/>
  <c r="K500" i="4"/>
  <c r="J502" i="4"/>
  <c r="J506" i="4"/>
  <c r="J510" i="4"/>
  <c r="K512" i="4"/>
  <c r="J514" i="4"/>
  <c r="K516" i="4"/>
  <c r="J518" i="4"/>
  <c r="J522" i="4"/>
  <c r="J526" i="4"/>
  <c r="K528" i="4"/>
  <c r="J530" i="4"/>
  <c r="K540" i="4"/>
  <c r="J542" i="4"/>
  <c r="K544" i="4"/>
  <c r="K548" i="4"/>
  <c r="J550" i="4"/>
  <c r="K552" i="4"/>
  <c r="J554" i="4"/>
  <c r="J558" i="4"/>
  <c r="K564" i="4"/>
  <c r="J566" i="4"/>
  <c r="K568" i="4"/>
  <c r="J570" i="4"/>
  <c r="K572" i="4"/>
  <c r="J574" i="4"/>
  <c r="J578" i="4"/>
  <c r="K580" i="4"/>
  <c r="J582" i="4"/>
  <c r="K584" i="4"/>
  <c r="J586" i="4"/>
  <c r="K588" i="4"/>
  <c r="J590" i="4"/>
  <c r="K592" i="4"/>
  <c r="J594" i="4"/>
  <c r="J598" i="4"/>
  <c r="K600" i="4"/>
  <c r="J602" i="4"/>
  <c r="K604" i="4"/>
  <c r="J606" i="4"/>
  <c r="J614" i="4"/>
  <c r="K616" i="4"/>
  <c r="J618" i="4"/>
  <c r="J622" i="4"/>
  <c r="K624" i="4"/>
  <c r="J626" i="4"/>
  <c r="K628" i="4"/>
  <c r="J630" i="4"/>
  <c r="J633" i="4"/>
  <c r="J634" i="4"/>
  <c r="K636" i="4"/>
  <c r="J638" i="4"/>
  <c r="K644" i="4"/>
  <c r="J650" i="4"/>
  <c r="K3" i="4"/>
  <c r="J3" i="4"/>
  <c r="N650" i="4"/>
  <c r="O650" i="4" s="1"/>
  <c r="N649" i="4"/>
  <c r="O649" i="4" s="1"/>
  <c r="N648" i="4"/>
  <c r="O648" i="4" s="1"/>
  <c r="N647" i="4"/>
  <c r="N646" i="4"/>
  <c r="N645" i="4"/>
  <c r="O645" i="4" s="1"/>
  <c r="N644" i="4"/>
  <c r="O644" i="4" s="1"/>
  <c r="N643" i="4"/>
  <c r="O643" i="4" s="1"/>
  <c r="N642" i="4"/>
  <c r="O642" i="4" s="1"/>
  <c r="N641" i="4"/>
  <c r="O641" i="4" s="1"/>
  <c r="N640" i="4"/>
  <c r="O640" i="4" s="1"/>
  <c r="N639" i="4"/>
  <c r="N638" i="4"/>
  <c r="O638" i="4" s="1"/>
  <c r="N637" i="4"/>
  <c r="N634" i="4"/>
  <c r="N626" i="4"/>
  <c r="N624" i="4"/>
  <c r="O624" i="4" s="1"/>
  <c r="N623" i="4"/>
  <c r="O623" i="4" s="1"/>
  <c r="N621" i="4"/>
  <c r="O621" i="4" s="1"/>
  <c r="N617" i="4"/>
  <c r="N609" i="4"/>
  <c r="N604" i="4"/>
  <c r="O604" i="4" s="1"/>
  <c r="N603" i="4"/>
  <c r="O603" i="4" s="1"/>
  <c r="N602" i="4"/>
  <c r="N601" i="4"/>
  <c r="O601" i="4" s="1"/>
  <c r="N600" i="4"/>
  <c r="O600" i="4" s="1"/>
  <c r="N599" i="4"/>
  <c r="O599" i="4" s="1"/>
  <c r="N598" i="4"/>
  <c r="O598" i="4" s="1"/>
  <c r="N597" i="4"/>
  <c r="O597" i="4" s="1"/>
  <c r="N596" i="4"/>
  <c r="O596" i="4" s="1"/>
  <c r="N595" i="4"/>
  <c r="O595" i="4" s="1"/>
  <c r="N586" i="4"/>
  <c r="O586" i="4" s="1"/>
  <c r="N577" i="4"/>
  <c r="O577" i="4" s="1"/>
  <c r="N575" i="4"/>
  <c r="O575" i="4" s="1"/>
  <c r="N572" i="4"/>
  <c r="O572" i="4" s="1"/>
  <c r="N571" i="4"/>
  <c r="O571" i="4" s="1"/>
  <c r="N561" i="4"/>
  <c r="N560" i="4"/>
  <c r="N549" i="4"/>
  <c r="O549" i="4" s="1"/>
  <c r="N546" i="4"/>
  <c r="O546" i="4" s="1"/>
  <c r="N544" i="4"/>
  <c r="O544" i="4" s="1"/>
  <c r="N537" i="4"/>
  <c r="O537" i="4" s="1"/>
  <c r="N535" i="4"/>
  <c r="O535" i="4" s="1"/>
  <c r="N534" i="4"/>
  <c r="N531" i="4"/>
  <c r="O531" i="4" s="1"/>
  <c r="N529" i="4"/>
  <c r="N528" i="4"/>
  <c r="O528" i="4" s="1"/>
  <c r="N526" i="4"/>
  <c r="N525" i="4"/>
  <c r="O525" i="4" s="1"/>
  <c r="N524" i="4"/>
  <c r="O524" i="4" s="1"/>
  <c r="N523" i="4"/>
  <c r="O523" i="4" s="1"/>
  <c r="N521" i="4"/>
  <c r="N520" i="4"/>
  <c r="N519" i="4"/>
  <c r="O519" i="4" s="1"/>
  <c r="N518" i="4"/>
  <c r="O518" i="4" s="1"/>
  <c r="N515" i="4"/>
  <c r="O515" i="4" s="1"/>
  <c r="N513" i="4"/>
  <c r="O513" i="4" s="1"/>
  <c r="N512" i="4"/>
  <c r="O512" i="4" s="1"/>
  <c r="N506" i="4"/>
  <c r="O506" i="4" s="1"/>
  <c r="N504" i="4"/>
  <c r="N503" i="4"/>
  <c r="N502" i="4"/>
  <c r="N498" i="4"/>
  <c r="O498" i="4" s="1"/>
  <c r="N495" i="4"/>
  <c r="N494" i="4"/>
  <c r="O494" i="4" s="1"/>
  <c r="N493" i="4"/>
  <c r="O493" i="4" s="1"/>
  <c r="N491" i="4"/>
  <c r="O491" i="4" s="1"/>
  <c r="N489" i="4"/>
  <c r="N488" i="4"/>
  <c r="N487" i="4"/>
  <c r="N484" i="4"/>
  <c r="O484" i="4" s="1"/>
  <c r="N483" i="4"/>
  <c r="O483" i="4" s="1"/>
  <c r="N482" i="4"/>
  <c r="O482" i="4" s="1"/>
  <c r="N481" i="4"/>
  <c r="O481" i="4" s="1"/>
  <c r="N480" i="4"/>
  <c r="O480" i="4" s="1"/>
  <c r="N466" i="4"/>
  <c r="N450" i="4"/>
  <c r="O450" i="4" s="1"/>
  <c r="N415" i="4"/>
  <c r="N411" i="4"/>
  <c r="O411" i="4" s="1"/>
  <c r="N409" i="4"/>
  <c r="O409" i="4" s="1"/>
  <c r="N408" i="4"/>
  <c r="O408" i="4" s="1"/>
  <c r="N407" i="4"/>
  <c r="O407" i="4" s="1"/>
  <c r="N405" i="4"/>
  <c r="O405" i="4" s="1"/>
  <c r="N404" i="4"/>
  <c r="O404" i="4" s="1"/>
  <c r="N403" i="4"/>
  <c r="O403" i="4" s="1"/>
  <c r="N401" i="4"/>
  <c r="N400" i="4"/>
  <c r="O400" i="4" s="1"/>
  <c r="N398" i="4"/>
  <c r="O398" i="4" s="1"/>
  <c r="N396" i="4"/>
  <c r="O396" i="4" s="1"/>
  <c r="N395" i="4"/>
  <c r="O395" i="4" s="1"/>
  <c r="N394" i="4"/>
  <c r="O394" i="4" s="1"/>
  <c r="N387" i="4"/>
  <c r="O387" i="4" s="1"/>
  <c r="N386" i="4"/>
  <c r="N385" i="4"/>
  <c r="N383" i="4"/>
  <c r="O383" i="4" s="1"/>
  <c r="N381" i="4"/>
  <c r="O381" i="4" s="1"/>
  <c r="N380" i="4"/>
  <c r="O380" i="4" s="1"/>
  <c r="N378" i="4"/>
  <c r="O378" i="4" s="1"/>
  <c r="N377" i="4"/>
  <c r="O377" i="4" s="1"/>
  <c r="N376" i="4"/>
  <c r="N375" i="4"/>
  <c r="N374" i="4"/>
  <c r="N373" i="4"/>
  <c r="N372" i="4"/>
  <c r="O372" i="4" s="1"/>
  <c r="N371" i="4"/>
  <c r="O371" i="4" s="1"/>
  <c r="N370" i="4"/>
  <c r="O370" i="4" s="1"/>
  <c r="N369" i="4"/>
  <c r="O369" i="4" s="1"/>
  <c r="N368" i="4"/>
  <c r="O368" i="4" s="1"/>
  <c r="N367" i="4"/>
  <c r="O367" i="4" s="1"/>
  <c r="N366" i="4"/>
  <c r="O366" i="4" s="1"/>
  <c r="N365" i="4"/>
  <c r="O365" i="4" s="1"/>
  <c r="N364" i="4"/>
  <c r="O364" i="4" s="1"/>
  <c r="N363" i="4"/>
  <c r="O363" i="4" s="1"/>
  <c r="N361" i="4"/>
  <c r="O361" i="4" s="1"/>
  <c r="N360" i="4"/>
  <c r="O360" i="4" s="1"/>
  <c r="N359" i="4"/>
  <c r="O359" i="4" s="1"/>
  <c r="N358" i="4"/>
  <c r="O358" i="4" s="1"/>
  <c r="N357" i="4"/>
  <c r="O357" i="4" s="1"/>
  <c r="N356" i="4"/>
  <c r="O356" i="4" s="1"/>
  <c r="N355" i="4"/>
  <c r="O355" i="4" s="1"/>
  <c r="N354" i="4"/>
  <c r="O354" i="4" s="1"/>
  <c r="N353" i="4"/>
  <c r="O353" i="4" s="1"/>
  <c r="N352" i="4"/>
  <c r="O352" i="4" s="1"/>
  <c r="N351" i="4"/>
  <c r="O351" i="4" s="1"/>
  <c r="N350" i="4"/>
  <c r="O350" i="4" s="1"/>
  <c r="N349" i="4"/>
  <c r="N348" i="4"/>
  <c r="O348" i="4" s="1"/>
  <c r="N347" i="4"/>
  <c r="O347" i="4" s="1"/>
  <c r="N346" i="4"/>
  <c r="O346" i="4" s="1"/>
  <c r="N345" i="4"/>
  <c r="O345" i="4" s="1"/>
  <c r="N344" i="4"/>
  <c r="O344" i="4" s="1"/>
  <c r="N343" i="4"/>
  <c r="O343" i="4" s="1"/>
  <c r="N342" i="4"/>
  <c r="O342" i="4" s="1"/>
  <c r="N341" i="4"/>
  <c r="N340" i="4"/>
  <c r="O340" i="4" s="1"/>
  <c r="N339" i="4"/>
  <c r="O339" i="4" s="1"/>
  <c r="N338" i="4"/>
  <c r="O338" i="4" s="1"/>
  <c r="N336" i="4"/>
  <c r="O336" i="4" s="1"/>
  <c r="N335" i="4"/>
  <c r="O335" i="4" s="1"/>
  <c r="N334" i="4"/>
  <c r="N333" i="4"/>
  <c r="O333" i="4" s="1"/>
  <c r="N331" i="4"/>
  <c r="O331" i="4" s="1"/>
  <c r="N330" i="4"/>
  <c r="O330" i="4" s="1"/>
  <c r="N329" i="4"/>
  <c r="O329" i="4" s="1"/>
  <c r="N328" i="4"/>
  <c r="O328" i="4" s="1"/>
  <c r="N327" i="4"/>
  <c r="O327" i="4" s="1"/>
  <c r="N326" i="4"/>
  <c r="O326" i="4" s="1"/>
  <c r="N325" i="4"/>
  <c r="O325" i="4" s="1"/>
  <c r="N324" i="4"/>
  <c r="O324" i="4" s="1"/>
  <c r="N323" i="4"/>
  <c r="O323" i="4" s="1"/>
  <c r="N321" i="4"/>
  <c r="O321" i="4" s="1"/>
  <c r="N316" i="4"/>
  <c r="O316" i="4" s="1"/>
  <c r="N314" i="4"/>
  <c r="O314" i="4" s="1"/>
  <c r="N310" i="4"/>
  <c r="O310" i="4" s="1"/>
  <c r="N309" i="4"/>
  <c r="O309" i="4" s="1"/>
  <c r="N305" i="4"/>
  <c r="N304" i="4"/>
  <c r="N302" i="4"/>
  <c r="O302" i="4" s="1"/>
  <c r="N301" i="4"/>
  <c r="O301" i="4" s="1"/>
  <c r="N300" i="4"/>
  <c r="O300" i="4" s="1"/>
  <c r="N299" i="4"/>
  <c r="O299" i="4" s="1"/>
  <c r="N297" i="4"/>
  <c r="O297" i="4" s="1"/>
  <c r="N296" i="4"/>
  <c r="O296" i="4" s="1"/>
  <c r="N295" i="4"/>
  <c r="N294" i="4"/>
  <c r="N289" i="4"/>
  <c r="N288" i="4"/>
  <c r="O288" i="4" s="1"/>
  <c r="N287" i="4"/>
  <c r="O287" i="4" s="1"/>
  <c r="N286" i="4"/>
  <c r="O286" i="4" s="1"/>
  <c r="N285" i="4"/>
  <c r="O285" i="4" s="1"/>
  <c r="N284" i="4"/>
  <c r="O284" i="4" s="1"/>
  <c r="N283" i="4"/>
  <c r="O283" i="4" s="1"/>
  <c r="N282" i="4"/>
  <c r="O282" i="4" s="1"/>
  <c r="N281" i="4"/>
  <c r="N280" i="4"/>
  <c r="O280" i="4" s="1"/>
  <c r="N278" i="4"/>
  <c r="O278" i="4" s="1"/>
  <c r="N276" i="4"/>
  <c r="O276" i="4" s="1"/>
  <c r="N275" i="4"/>
  <c r="O275" i="4" s="1"/>
  <c r="N274" i="4"/>
  <c r="O274" i="4" s="1"/>
  <c r="N273" i="4"/>
  <c r="N272" i="4"/>
  <c r="N271" i="4"/>
  <c r="N270" i="4"/>
  <c r="O270" i="4" s="1"/>
  <c r="N267" i="4"/>
  <c r="O267" i="4" s="1"/>
  <c r="N266" i="4"/>
  <c r="O266" i="4" s="1"/>
  <c r="N260" i="4"/>
  <c r="O260" i="4" s="1"/>
  <c r="N259" i="4"/>
  <c r="O259" i="4" s="1"/>
  <c r="N258" i="4"/>
  <c r="O258" i="4" s="1"/>
  <c r="N257" i="4"/>
  <c r="N253" i="4"/>
  <c r="N252" i="4"/>
  <c r="O252" i="4" s="1"/>
  <c r="N251" i="4"/>
  <c r="O251" i="4" s="1"/>
  <c r="N250" i="4"/>
  <c r="O250" i="4" s="1"/>
  <c r="N249" i="4"/>
  <c r="O249" i="4" s="1"/>
  <c r="N248" i="4"/>
  <c r="O248" i="4" s="1"/>
  <c r="N247" i="4"/>
  <c r="O247" i="4" s="1"/>
  <c r="N246" i="4"/>
  <c r="O246" i="4" s="1"/>
  <c r="N245" i="4"/>
  <c r="O245" i="4" s="1"/>
  <c r="N244" i="4"/>
  <c r="O244" i="4" s="1"/>
  <c r="N243" i="4"/>
  <c r="O243" i="4" s="1"/>
  <c r="N242" i="4"/>
  <c r="O242" i="4" s="1"/>
  <c r="N240" i="4"/>
  <c r="O240" i="4" s="1"/>
  <c r="N237" i="4"/>
  <c r="O237" i="4" s="1"/>
  <c r="N236" i="4"/>
  <c r="O236" i="4" s="1"/>
  <c r="N235" i="4"/>
  <c r="O235" i="4" s="1"/>
  <c r="N233" i="4"/>
  <c r="N232" i="4"/>
  <c r="O232" i="4" s="1"/>
  <c r="N231" i="4"/>
  <c r="O231" i="4" s="1"/>
  <c r="N230" i="4"/>
  <c r="O230" i="4" s="1"/>
  <c r="N229" i="4"/>
  <c r="O229" i="4" s="1"/>
  <c r="N226" i="4"/>
  <c r="O226" i="4" s="1"/>
  <c r="N225" i="4"/>
  <c r="O225" i="4" s="1"/>
  <c r="N224" i="4"/>
  <c r="N223" i="4"/>
  <c r="N222" i="4"/>
  <c r="O222" i="4" s="1"/>
  <c r="N221" i="4"/>
  <c r="O221" i="4" s="1"/>
  <c r="N219" i="4"/>
  <c r="O219" i="4" s="1"/>
  <c r="N218" i="4"/>
  <c r="O218" i="4" s="1"/>
  <c r="N217" i="4"/>
  <c r="O217" i="4" s="1"/>
  <c r="N216" i="4"/>
  <c r="O216" i="4" s="1"/>
  <c r="N215" i="4"/>
  <c r="O215" i="4" s="1"/>
  <c r="N214" i="4"/>
  <c r="N213" i="4"/>
  <c r="O213" i="4" s="1"/>
  <c r="N212" i="4"/>
  <c r="O212" i="4" s="1"/>
  <c r="N211" i="4"/>
  <c r="O211" i="4" s="1"/>
  <c r="N210" i="4"/>
  <c r="O210" i="4" s="1"/>
  <c r="N209" i="4"/>
  <c r="O209" i="4" s="1"/>
  <c r="N208" i="4"/>
  <c r="O208" i="4" s="1"/>
  <c r="N207" i="4"/>
  <c r="O207" i="4" s="1"/>
  <c r="N206" i="4"/>
  <c r="O206" i="4" s="1"/>
  <c r="N205" i="4"/>
  <c r="O205" i="4" s="1"/>
  <c r="N204" i="4"/>
  <c r="O204" i="4" s="1"/>
  <c r="N203" i="4"/>
  <c r="O203" i="4" s="1"/>
  <c r="N202" i="4"/>
  <c r="O202" i="4" s="1"/>
  <c r="N201" i="4"/>
  <c r="O201" i="4" s="1"/>
  <c r="N200" i="4"/>
  <c r="O200" i="4" s="1"/>
  <c r="N199" i="4"/>
  <c r="N198" i="4"/>
  <c r="N197" i="4"/>
  <c r="O197" i="4" s="1"/>
  <c r="N196" i="4"/>
  <c r="O196" i="4" s="1"/>
  <c r="N194" i="4"/>
  <c r="O194" i="4" s="1"/>
  <c r="N193" i="4"/>
  <c r="O193" i="4" s="1"/>
  <c r="N192" i="4"/>
  <c r="O192" i="4" s="1"/>
  <c r="N191" i="4"/>
  <c r="O191" i="4" s="1"/>
  <c r="N190" i="4"/>
  <c r="O190" i="4" s="1"/>
  <c r="N189" i="4"/>
  <c r="O189" i="4" s="1"/>
  <c r="N188" i="4"/>
  <c r="O188" i="4" s="1"/>
  <c r="N187" i="4"/>
  <c r="O187" i="4" s="1"/>
  <c r="N186" i="4"/>
  <c r="O186" i="4" s="1"/>
  <c r="N185" i="4"/>
  <c r="O185" i="4" s="1"/>
  <c r="N183" i="4"/>
  <c r="O183" i="4" s="1"/>
  <c r="N182" i="4"/>
  <c r="O182" i="4" s="1"/>
  <c r="N181" i="4"/>
  <c r="N180" i="4"/>
  <c r="O180" i="4" s="1"/>
  <c r="N179" i="4"/>
  <c r="O179" i="4" s="1"/>
  <c r="N178" i="4"/>
  <c r="O178" i="4" s="1"/>
  <c r="N177" i="4"/>
  <c r="O177" i="4" s="1"/>
  <c r="N173" i="4"/>
  <c r="O173" i="4" s="1"/>
  <c r="N172" i="4"/>
  <c r="O172" i="4" s="1"/>
  <c r="N171" i="4"/>
  <c r="O171" i="4" s="1"/>
  <c r="N168" i="4"/>
  <c r="O168" i="4" s="1"/>
  <c r="N167" i="4"/>
  <c r="N166" i="4"/>
  <c r="O166" i="4" s="1"/>
  <c r="N165" i="4"/>
  <c r="O165" i="4" s="1"/>
  <c r="N164" i="4"/>
  <c r="O164" i="4" s="1"/>
  <c r="N163" i="4"/>
  <c r="O163" i="4" s="1"/>
  <c r="N162" i="4"/>
  <c r="O162" i="4" s="1"/>
  <c r="N161" i="4"/>
  <c r="O161" i="4" s="1"/>
  <c r="N160" i="4"/>
  <c r="O160" i="4" s="1"/>
  <c r="N159" i="4"/>
  <c r="N158" i="4"/>
  <c r="O158" i="4" s="1"/>
  <c r="N157" i="4"/>
  <c r="O157" i="4" s="1"/>
  <c r="N156" i="4"/>
  <c r="O156" i="4" s="1"/>
  <c r="N155" i="4"/>
  <c r="O155" i="4" s="1"/>
  <c r="N154" i="4"/>
  <c r="O154" i="4" s="1"/>
  <c r="N153" i="4"/>
  <c r="O153" i="4" s="1"/>
  <c r="N150" i="4"/>
  <c r="O150" i="4" s="1"/>
  <c r="N149" i="4"/>
  <c r="O149" i="4" s="1"/>
  <c r="N148" i="4"/>
  <c r="O148" i="4" s="1"/>
  <c r="N145" i="4"/>
  <c r="O145" i="4" s="1"/>
  <c r="N143" i="4"/>
  <c r="O143" i="4" s="1"/>
  <c r="N134" i="4"/>
  <c r="O134" i="4" s="1"/>
  <c r="N132" i="4"/>
  <c r="O132" i="4" s="1"/>
  <c r="N131" i="4"/>
  <c r="O131" i="4" s="1"/>
  <c r="N126" i="4"/>
  <c r="O126" i="4" s="1"/>
  <c r="N124" i="4"/>
  <c r="O124" i="4" s="1"/>
  <c r="N123" i="4"/>
  <c r="O123" i="4" s="1"/>
  <c r="N121" i="4"/>
  <c r="O121" i="4" s="1"/>
  <c r="N118" i="4"/>
  <c r="O118" i="4" s="1"/>
  <c r="N117" i="4"/>
  <c r="O117" i="4" s="1"/>
  <c r="N116" i="4"/>
  <c r="O116" i="4" s="1"/>
  <c r="N113" i="4"/>
  <c r="O113" i="4" s="1"/>
  <c r="N109" i="4"/>
  <c r="O109" i="4" s="1"/>
  <c r="N106" i="4"/>
  <c r="O106" i="4" s="1"/>
  <c r="N103" i="4"/>
  <c r="O103" i="4" s="1"/>
  <c r="N100" i="4"/>
  <c r="O100" i="4" s="1"/>
  <c r="N97" i="4"/>
  <c r="O97" i="4" s="1"/>
  <c r="N96" i="4"/>
  <c r="O96" i="4" s="1"/>
  <c r="N94" i="4"/>
  <c r="O94" i="4" s="1"/>
  <c r="N91" i="4"/>
  <c r="O91" i="4" s="1"/>
  <c r="N90" i="4"/>
  <c r="O90" i="4" s="1"/>
  <c r="N89" i="4"/>
  <c r="O89" i="4" s="1"/>
  <c r="N79" i="4"/>
  <c r="O79" i="4" s="1"/>
  <c r="N73" i="4"/>
  <c r="O73" i="4" s="1"/>
  <c r="N65" i="4"/>
  <c r="O65" i="4" s="1"/>
  <c r="N54" i="4"/>
  <c r="O54" i="4" s="1"/>
  <c r="N45" i="4"/>
  <c r="O45" i="4" s="1"/>
  <c r="N43" i="4"/>
  <c r="O43" i="4" s="1"/>
  <c r="N36" i="4"/>
  <c r="O36" i="4" s="1"/>
  <c r="N34" i="4"/>
  <c r="O34" i="4" s="1"/>
  <c r="N31" i="4"/>
  <c r="O31" i="4" s="1"/>
  <c r="N30" i="4"/>
  <c r="O30" i="4" s="1"/>
  <c r="N29" i="4"/>
  <c r="O29" i="4" s="1"/>
  <c r="N27" i="4"/>
  <c r="O27" i="4" s="1"/>
  <c r="N22" i="4"/>
  <c r="O22" i="4" s="1"/>
  <c r="N21" i="4"/>
  <c r="O21" i="4" s="1"/>
  <c r="N20" i="4"/>
  <c r="O20" i="4" s="1"/>
  <c r="N19" i="4"/>
  <c r="O19" i="4" s="1"/>
  <c r="N17" i="4"/>
  <c r="O17" i="4" s="1"/>
  <c r="N15" i="4"/>
  <c r="O15" i="4" s="1"/>
  <c r="N14" i="4"/>
  <c r="O14" i="4" s="1"/>
  <c r="N13" i="4"/>
  <c r="O13" i="4" s="1"/>
  <c r="N9" i="4"/>
  <c r="O9" i="4" s="1"/>
  <c r="N6" i="4"/>
  <c r="O6" i="4" s="1"/>
  <c r="N3" i="4"/>
  <c r="O3" i="4" s="1"/>
  <c r="O646" i="4"/>
  <c r="O637" i="4"/>
  <c r="O526" i="4"/>
  <c r="O503" i="4"/>
  <c r="O502" i="4"/>
  <c r="O487" i="4"/>
  <c r="O374" i="4"/>
  <c r="O373" i="4"/>
  <c r="O349" i="4"/>
  <c r="O334" i="4"/>
  <c r="O294" i="4"/>
  <c r="O199" i="4"/>
  <c r="O198" i="4"/>
  <c r="O181" i="4"/>
  <c r="O534" i="4"/>
  <c r="O415" i="4"/>
  <c r="O341" i="4"/>
  <c r="O253" i="4"/>
  <c r="O214" i="4"/>
  <c r="O647" i="4"/>
  <c r="O561" i="4"/>
  <c r="O521" i="4"/>
  <c r="O504" i="4"/>
  <c r="O495" i="4"/>
  <c r="O489" i="4"/>
  <c r="O375" i="4"/>
  <c r="O304" i="4"/>
  <c r="O272" i="4"/>
  <c r="O167" i="4"/>
  <c r="O223" i="4"/>
  <c r="O159" i="4"/>
  <c r="O257" i="4"/>
  <c r="O386" i="4"/>
  <c r="O466" i="4"/>
  <c r="O520" i="4"/>
  <c r="O602" i="4"/>
  <c r="O626" i="4"/>
  <c r="O634" i="4"/>
  <c r="O639" i="4"/>
  <c r="J608" i="4"/>
  <c r="J555" i="4"/>
  <c r="K556" i="4"/>
  <c r="J556" i="4"/>
  <c r="K438" i="4"/>
  <c r="J438" i="4"/>
  <c r="K413" i="4"/>
  <c r="J413" i="4"/>
  <c r="O224" i="4"/>
  <c r="O233" i="4"/>
  <c r="O271" i="4"/>
  <c r="O273" i="4"/>
  <c r="O281" i="4"/>
  <c r="O289" i="4"/>
  <c r="O295" i="4"/>
  <c r="O305" i="4"/>
  <c r="O376" i="4"/>
  <c r="O385" i="4"/>
  <c r="O401" i="4"/>
  <c r="O488" i="4"/>
  <c r="O529" i="4"/>
  <c r="O560" i="4"/>
  <c r="O609" i="4"/>
  <c r="O617" i="4"/>
  <c r="J4" i="4"/>
  <c r="K6" i="4"/>
  <c r="J7" i="4"/>
  <c r="J8" i="4"/>
  <c r="J15" i="4"/>
  <c r="J16" i="4"/>
  <c r="J18" i="4"/>
  <c r="J19" i="4"/>
  <c r="J20" i="4"/>
  <c r="J24" i="4"/>
  <c r="J26" i="4"/>
  <c r="K26" i="4"/>
  <c r="J27" i="4"/>
  <c r="J28" i="4"/>
  <c r="J30" i="4"/>
  <c r="K30" i="4"/>
  <c r="J31" i="4"/>
  <c r="J32" i="4"/>
  <c r="J35" i="4"/>
  <c r="K35" i="4"/>
  <c r="J36" i="4"/>
  <c r="K38" i="4"/>
  <c r="J40" i="4"/>
  <c r="J43" i="4"/>
  <c r="J44" i="4"/>
  <c r="K46" i="4"/>
  <c r="J47" i="4"/>
  <c r="J48" i="4"/>
  <c r="J52" i="4"/>
  <c r="J55" i="4"/>
  <c r="J56" i="4"/>
  <c r="K58" i="4"/>
  <c r="J59" i="4"/>
  <c r="J60" i="4"/>
  <c r="J63" i="4"/>
  <c r="J64" i="4"/>
  <c r="K66" i="4"/>
  <c r="J67" i="4"/>
  <c r="J68" i="4"/>
  <c r="J70" i="4"/>
  <c r="K70" i="4"/>
  <c r="J71" i="4"/>
  <c r="J72" i="4"/>
  <c r="K74" i="4"/>
  <c r="J76" i="4"/>
  <c r="J78" i="4"/>
  <c r="J79" i="4"/>
  <c r="J80" i="4"/>
  <c r="K82" i="4"/>
  <c r="J83" i="4"/>
  <c r="J84" i="4"/>
  <c r="K86" i="4"/>
  <c r="J88" i="4"/>
  <c r="J91" i="4"/>
  <c r="J92" i="4"/>
  <c r="K94" i="4"/>
  <c r="J95" i="4"/>
  <c r="J96" i="4"/>
  <c r="J99" i="4"/>
  <c r="K99" i="4"/>
  <c r="J100" i="4"/>
  <c r="K102" i="4"/>
  <c r="J103" i="4"/>
  <c r="J104" i="4"/>
  <c r="K106" i="4"/>
  <c r="J107" i="4"/>
  <c r="K107" i="4"/>
  <c r="J108" i="4"/>
  <c r="J111" i="4"/>
  <c r="J112" i="4"/>
  <c r="K114" i="4"/>
  <c r="J115" i="4"/>
  <c r="J116" i="4"/>
  <c r="K118" i="4"/>
  <c r="J120" i="4"/>
  <c r="J122" i="4"/>
  <c r="K122" i="4"/>
  <c r="J123" i="4"/>
  <c r="J124" i="4"/>
  <c r="K126" i="4"/>
  <c r="J127" i="4"/>
  <c r="J128" i="4"/>
  <c r="K130" i="4"/>
  <c r="J135" i="4"/>
  <c r="J136" i="4"/>
  <c r="J138" i="4"/>
  <c r="K138" i="4"/>
  <c r="J139" i="4"/>
  <c r="J140" i="4"/>
  <c r="J144" i="4"/>
  <c r="K146" i="4"/>
  <c r="J147" i="4"/>
  <c r="J148" i="4"/>
  <c r="K150" i="4"/>
  <c r="J151" i="4"/>
  <c r="J152" i="4"/>
  <c r="K154" i="4"/>
  <c r="J155" i="4"/>
  <c r="J156" i="4"/>
  <c r="K158" i="4"/>
  <c r="J159" i="4"/>
  <c r="K162" i="4"/>
  <c r="J163" i="4"/>
  <c r="J164" i="4"/>
  <c r="K166" i="4"/>
  <c r="J167" i="4"/>
  <c r="J168" i="4"/>
  <c r="J171" i="4"/>
  <c r="K171" i="4"/>
  <c r="J172" i="4"/>
  <c r="J174" i="4"/>
  <c r="K174" i="4"/>
  <c r="J176" i="4"/>
  <c r="J179" i="4"/>
  <c r="J180" i="4"/>
  <c r="J182" i="4"/>
  <c r="K182" i="4"/>
  <c r="J183" i="4"/>
  <c r="J184" i="4"/>
  <c r="K186" i="4"/>
  <c r="J187" i="4"/>
  <c r="K187" i="4"/>
  <c r="J188" i="4"/>
  <c r="J191" i="4"/>
  <c r="J192" i="4"/>
  <c r="K194" i="4"/>
  <c r="J196" i="4"/>
  <c r="J198" i="4"/>
  <c r="K198" i="4"/>
  <c r="J199" i="4"/>
  <c r="J200" i="4"/>
  <c r="K202" i="4"/>
  <c r="J203" i="4"/>
  <c r="J204" i="4"/>
  <c r="K206" i="4"/>
  <c r="J207" i="4"/>
  <c r="J208" i="4"/>
  <c r="J214" i="4"/>
  <c r="K214" i="4"/>
  <c r="J215" i="4"/>
  <c r="J216" i="4"/>
  <c r="K218" i="4"/>
  <c r="J219" i="4"/>
  <c r="J220" i="4"/>
  <c r="K222" i="4"/>
  <c r="K223" i="4"/>
  <c r="J224" i="4"/>
  <c r="K226" i="4"/>
  <c r="J227" i="4"/>
  <c r="J228" i="4"/>
  <c r="K230" i="4"/>
  <c r="J231" i="4"/>
  <c r="K231" i="4"/>
  <c r="J232" i="4"/>
  <c r="J235" i="4"/>
  <c r="J236" i="4"/>
  <c r="K238" i="4"/>
  <c r="J240" i="4"/>
  <c r="K242" i="4"/>
  <c r="J243" i="4"/>
  <c r="J244" i="4"/>
  <c r="J247" i="4"/>
  <c r="J248" i="4"/>
  <c r="K250" i="4"/>
  <c r="J251" i="4"/>
  <c r="J252" i="4"/>
  <c r="K254" i="4"/>
  <c r="J255" i="4"/>
  <c r="J256" i="4"/>
  <c r="J258" i="4"/>
  <c r="K258" i="4"/>
  <c r="J259" i="4"/>
  <c r="J260" i="4"/>
  <c r="K262" i="4"/>
  <c r="J267" i="4"/>
  <c r="J268" i="4"/>
  <c r="K270" i="4"/>
  <c r="J271" i="4"/>
  <c r="J272" i="4"/>
  <c r="J275" i="4"/>
  <c r="J276" i="4"/>
  <c r="K278" i="4"/>
  <c r="J279" i="4"/>
  <c r="J280" i="4"/>
  <c r="J282" i="4"/>
  <c r="K282" i="4"/>
  <c r="J283" i="4"/>
  <c r="J284" i="4"/>
  <c r="K286" i="4"/>
  <c r="J288" i="4"/>
  <c r="J290" i="4"/>
  <c r="K290" i="4"/>
  <c r="J291" i="4"/>
  <c r="J292" i="4"/>
  <c r="K294" i="4"/>
  <c r="J295" i="4"/>
  <c r="J296" i="4"/>
  <c r="K298" i="4"/>
  <c r="J299" i="4"/>
  <c r="J300" i="4"/>
  <c r="J304" i="4"/>
  <c r="J306" i="4"/>
  <c r="K306" i="4"/>
  <c r="J307" i="4"/>
  <c r="J308" i="4"/>
  <c r="K310" i="4"/>
  <c r="K311" i="4"/>
  <c r="J312" i="4"/>
  <c r="K314" i="4"/>
  <c r="J315" i="4"/>
  <c r="J316" i="4"/>
  <c r="K318" i="4"/>
  <c r="J319" i="4"/>
  <c r="K319" i="4"/>
  <c r="J320" i="4"/>
  <c r="K322" i="4"/>
  <c r="J323" i="4"/>
  <c r="J324" i="4"/>
  <c r="J328" i="4"/>
  <c r="J330" i="4"/>
  <c r="K330" i="4"/>
  <c r="J331" i="4"/>
  <c r="J332" i="4"/>
  <c r="J335" i="4"/>
  <c r="J336" i="4"/>
  <c r="K338" i="4"/>
  <c r="J339" i="4"/>
  <c r="J340" i="4"/>
  <c r="K342" i="4"/>
  <c r="J343" i="4"/>
  <c r="J344" i="4"/>
  <c r="J347" i="4"/>
  <c r="K347" i="4"/>
  <c r="J348" i="4"/>
  <c r="K350" i="4"/>
  <c r="J352" i="4"/>
  <c r="K354" i="4"/>
  <c r="J355" i="4"/>
  <c r="J356" i="4"/>
  <c r="J359" i="4"/>
  <c r="J360" i="4"/>
  <c r="K362" i="4"/>
  <c r="J363" i="4"/>
  <c r="J364" i="4"/>
  <c r="K366" i="4"/>
  <c r="J367" i="4"/>
  <c r="J368" i="4"/>
  <c r="K370" i="4"/>
  <c r="J371" i="4"/>
  <c r="J372" i="4"/>
  <c r="K374" i="4"/>
  <c r="J376" i="4"/>
  <c r="K378" i="4"/>
  <c r="J379" i="4"/>
  <c r="J380" i="4"/>
  <c r="K382" i="4"/>
  <c r="J383" i="4"/>
  <c r="J384" i="4"/>
  <c r="K386" i="4"/>
  <c r="J387" i="4"/>
  <c r="J388" i="4"/>
  <c r="J391" i="4"/>
  <c r="J392" i="4"/>
  <c r="J395" i="4"/>
  <c r="J396" i="4"/>
  <c r="K398" i="4"/>
  <c r="J403" i="4"/>
  <c r="J404" i="4"/>
  <c r="K405" i="4"/>
  <c r="K406" i="4"/>
  <c r="J407" i="4"/>
  <c r="J408" i="4"/>
  <c r="K410" i="4"/>
  <c r="J411" i="4"/>
  <c r="K411" i="4"/>
  <c r="J412" i="4"/>
  <c r="K414" i="4"/>
  <c r="J415" i="4"/>
  <c r="J416" i="4"/>
  <c r="J418" i="4"/>
  <c r="K418" i="4"/>
  <c r="J419" i="4"/>
  <c r="J420" i="4"/>
  <c r="K422" i="4"/>
  <c r="J427" i="4"/>
  <c r="J428" i="4"/>
  <c r="K430" i="4"/>
  <c r="J431" i="4"/>
  <c r="J432" i="4"/>
  <c r="K433" i="4"/>
  <c r="K434" i="4"/>
  <c r="J435" i="4"/>
  <c r="J436" i="4"/>
  <c r="J439" i="4"/>
  <c r="J440" i="4"/>
  <c r="K442" i="4"/>
  <c r="J443" i="4"/>
  <c r="J444" i="4"/>
  <c r="K446" i="4"/>
  <c r="K447" i="4"/>
  <c r="K450" i="4"/>
  <c r="J451" i="4"/>
  <c r="J452" i="4"/>
  <c r="J455" i="4"/>
  <c r="J456" i="4"/>
  <c r="K457" i="4"/>
  <c r="K458" i="4"/>
  <c r="J459" i="4"/>
  <c r="J460" i="4"/>
  <c r="J463" i="4"/>
  <c r="J464" i="4"/>
  <c r="K466" i="4"/>
  <c r="J467" i="4"/>
  <c r="J468" i="4"/>
  <c r="K469" i="4"/>
  <c r="K470" i="4"/>
  <c r="J472" i="4"/>
  <c r="K474" i="4"/>
  <c r="J475" i="4"/>
  <c r="J476" i="4"/>
  <c r="K478" i="4"/>
  <c r="J479" i="4"/>
  <c r="J480" i="4"/>
  <c r="K481" i="4"/>
  <c r="K482" i="4"/>
  <c r="J483" i="4"/>
  <c r="J484" i="4"/>
  <c r="K486" i="4"/>
  <c r="J487" i="4"/>
  <c r="J488" i="4"/>
  <c r="K489" i="4"/>
  <c r="K490" i="4"/>
  <c r="J491" i="4"/>
  <c r="J492" i="4"/>
  <c r="J494" i="4"/>
  <c r="K494" i="4"/>
  <c r="K495" i="4"/>
  <c r="J496" i="4"/>
  <c r="K498" i="4"/>
  <c r="J499" i="4"/>
  <c r="J500" i="4"/>
  <c r="K501" i="4"/>
  <c r="J503" i="4"/>
  <c r="J504" i="4"/>
  <c r="K505" i="4"/>
  <c r="K506" i="4"/>
  <c r="J507" i="4"/>
  <c r="J508" i="4"/>
  <c r="K510" i="4"/>
  <c r="J511" i="4"/>
  <c r="K511" i="4"/>
  <c r="J512" i="4"/>
  <c r="K514" i="4"/>
  <c r="J515" i="4"/>
  <c r="J516" i="4"/>
  <c r="J520" i="4"/>
  <c r="K521" i="4"/>
  <c r="K522" i="4"/>
  <c r="J523" i="4"/>
  <c r="J524" i="4"/>
  <c r="J527" i="4"/>
  <c r="J528" i="4"/>
  <c r="K530" i="4"/>
  <c r="J531" i="4"/>
  <c r="J532" i="4"/>
  <c r="K533" i="4"/>
  <c r="K534" i="4"/>
  <c r="J535" i="4"/>
  <c r="J536" i="4"/>
  <c r="J538" i="4"/>
  <c r="K538" i="4"/>
  <c r="J539" i="4"/>
  <c r="K542" i="4"/>
  <c r="J544" i="4"/>
  <c r="K545" i="4"/>
  <c r="J546" i="4"/>
  <c r="K546" i="4"/>
  <c r="J547" i="4"/>
  <c r="J548" i="4"/>
  <c r="K550" i="4"/>
  <c r="J551" i="4"/>
  <c r="K551" i="4"/>
  <c r="J552" i="4"/>
  <c r="K553" i="4"/>
  <c r="K554" i="4"/>
  <c r="K558" i="4"/>
  <c r="K559" i="4"/>
  <c r="J560" i="4"/>
  <c r="J562" i="4"/>
  <c r="K562" i="4"/>
  <c r="J563" i="4"/>
  <c r="J564" i="4"/>
  <c r="K565" i="4"/>
  <c r="J568" i="4"/>
  <c r="K569" i="4"/>
  <c r="K570" i="4"/>
  <c r="J571" i="4"/>
  <c r="J572" i="4"/>
  <c r="K574" i="4"/>
  <c r="J575" i="4"/>
  <c r="K575" i="4"/>
  <c r="J576" i="4"/>
  <c r="K578" i="4"/>
  <c r="J579" i="4"/>
  <c r="J580" i="4"/>
  <c r="J584" i="4"/>
  <c r="K585" i="4"/>
  <c r="K586" i="4"/>
  <c r="J587" i="4"/>
  <c r="K587" i="4"/>
  <c r="J588" i="4"/>
  <c r="K591" i="4"/>
  <c r="K594" i="4"/>
  <c r="J595" i="4"/>
  <c r="K595" i="4"/>
  <c r="J596" i="4"/>
  <c r="K597" i="4"/>
  <c r="K598" i="4"/>
  <c r="J599" i="4"/>
  <c r="K599" i="4"/>
  <c r="J600" i="4"/>
  <c r="K602" i="4"/>
  <c r="J603" i="4"/>
  <c r="J604" i="4"/>
  <c r="K606" i="4"/>
  <c r="J607" i="4"/>
  <c r="K607" i="4"/>
  <c r="K609" i="4"/>
  <c r="K610" i="4"/>
  <c r="J611" i="4"/>
  <c r="J612" i="4"/>
  <c r="K614" i="4"/>
  <c r="J615" i="4"/>
  <c r="K615" i="4"/>
  <c r="J616" i="4"/>
  <c r="K617" i="4"/>
  <c r="K618" i="4"/>
  <c r="J619" i="4"/>
  <c r="J620" i="4"/>
  <c r="K622" i="4"/>
  <c r="K623" i="4"/>
  <c r="J624" i="4"/>
  <c r="K626" i="4"/>
  <c r="J627" i="4"/>
  <c r="J628" i="4"/>
  <c r="K630" i="4"/>
  <c r="K631" i="4"/>
  <c r="K634" i="4"/>
  <c r="J635" i="4"/>
  <c r="K635" i="4"/>
  <c r="J636" i="4"/>
  <c r="K637" i="4"/>
  <c r="K638" i="4"/>
  <c r="J639" i="4"/>
  <c r="K639" i="4"/>
  <c r="J640" i="4"/>
  <c r="J643" i="4"/>
  <c r="J644" i="4"/>
  <c r="K645" i="4"/>
  <c r="J646" i="4"/>
  <c r="K646" i="4"/>
  <c r="J647" i="4"/>
  <c r="K647" i="4"/>
  <c r="J648" i="4"/>
  <c r="K649" i="4"/>
  <c r="K650" i="4"/>
  <c r="D147" i="5"/>
  <c r="D285" i="5"/>
  <c r="D270" i="5"/>
  <c r="D239" i="5"/>
  <c r="D238" i="5"/>
  <c r="D235" i="5"/>
  <c r="D226" i="5"/>
  <c r="D228" i="5"/>
  <c r="K629" i="4"/>
  <c r="K4" i="4"/>
  <c r="K8" i="4"/>
  <c r="K10" i="4"/>
  <c r="K12" i="4"/>
  <c r="K13" i="4"/>
  <c r="K16" i="4"/>
  <c r="K20" i="4"/>
  <c r="K24" i="4"/>
  <c r="K28" i="4"/>
  <c r="K29" i="4"/>
  <c r="K32" i="4"/>
  <c r="K36" i="4"/>
  <c r="K37" i="4"/>
  <c r="K40" i="4"/>
  <c r="K42" i="4"/>
  <c r="K44" i="4"/>
  <c r="K48" i="4"/>
  <c r="K49" i="4"/>
  <c r="K50" i="4"/>
  <c r="K52" i="4"/>
  <c r="K56" i="4"/>
  <c r="K60" i="4"/>
  <c r="K61" i="4"/>
  <c r="K62" i="4"/>
  <c r="K64" i="4"/>
  <c r="K68" i="4"/>
  <c r="K69" i="4"/>
  <c r="K72" i="4"/>
  <c r="K76" i="4"/>
  <c r="K77" i="4"/>
  <c r="K78" i="4"/>
  <c r="K80" i="4"/>
  <c r="K81" i="4"/>
  <c r="K84" i="4"/>
  <c r="K88" i="4"/>
  <c r="K89" i="4"/>
  <c r="K92" i="4"/>
  <c r="K93" i="4"/>
  <c r="K96" i="4"/>
  <c r="K97" i="4"/>
  <c r="K98" i="4"/>
  <c r="K100" i="4"/>
  <c r="K104" i="4"/>
  <c r="K105" i="4"/>
  <c r="K108" i="4"/>
  <c r="K109" i="4"/>
  <c r="K110" i="4"/>
  <c r="K112" i="4"/>
  <c r="K116" i="4"/>
  <c r="K117" i="4"/>
  <c r="K120" i="4"/>
  <c r="K121" i="4"/>
  <c r="K124" i="4"/>
  <c r="K125" i="4"/>
  <c r="K128" i="4"/>
  <c r="K129" i="4"/>
  <c r="K132" i="4"/>
  <c r="K133" i="4"/>
  <c r="K134" i="4"/>
  <c r="K136" i="4"/>
  <c r="K137" i="4"/>
  <c r="K140" i="4"/>
  <c r="K141" i="4"/>
  <c r="K142" i="4"/>
  <c r="K144" i="4"/>
  <c r="K145" i="4"/>
  <c r="K148" i="4"/>
  <c r="K149" i="4"/>
  <c r="K152" i="4"/>
  <c r="K153" i="4"/>
  <c r="K156" i="4"/>
  <c r="K157" i="4"/>
  <c r="K160" i="4"/>
  <c r="K161" i="4"/>
  <c r="K164" i="4"/>
  <c r="K165" i="4"/>
  <c r="K168" i="4"/>
  <c r="K169" i="4"/>
  <c r="K170" i="4"/>
  <c r="K172" i="4"/>
  <c r="K173" i="4"/>
  <c r="K176" i="4"/>
  <c r="K177" i="4"/>
  <c r="K178" i="4"/>
  <c r="K180" i="4"/>
  <c r="K181" i="4"/>
  <c r="K184" i="4"/>
  <c r="K185" i="4"/>
  <c r="K188" i="4"/>
  <c r="K189" i="4"/>
  <c r="K190" i="4"/>
  <c r="K192" i="4"/>
  <c r="K193" i="4"/>
  <c r="K196" i="4"/>
  <c r="K197" i="4"/>
  <c r="K200" i="4"/>
  <c r="K201" i="4"/>
  <c r="K204" i="4"/>
  <c r="K205" i="4"/>
  <c r="K208" i="4"/>
  <c r="K209" i="4"/>
  <c r="K210" i="4"/>
  <c r="K212" i="4"/>
  <c r="K213" i="4"/>
  <c r="K216" i="4"/>
  <c r="K217" i="4"/>
  <c r="K220" i="4"/>
  <c r="K221" i="4"/>
  <c r="K224" i="4"/>
  <c r="K225" i="4"/>
  <c r="K228" i="4"/>
  <c r="K229" i="4"/>
  <c r="K232" i="4"/>
  <c r="K233" i="4"/>
  <c r="K234" i="4"/>
  <c r="K236" i="4"/>
  <c r="K237" i="4"/>
  <c r="K240" i="4"/>
  <c r="K241" i="4"/>
  <c r="K244" i="4"/>
  <c r="K245" i="4"/>
  <c r="K246" i="4"/>
  <c r="K248" i="4"/>
  <c r="K249" i="4"/>
  <c r="K252" i="4"/>
  <c r="K253" i="4"/>
  <c r="K256" i="4"/>
  <c r="K257" i="4"/>
  <c r="K260" i="4"/>
  <c r="K261" i="4"/>
  <c r="K264" i="4"/>
  <c r="K265" i="4"/>
  <c r="K266" i="4"/>
  <c r="K268" i="4"/>
  <c r="K269" i="4"/>
  <c r="K272" i="4"/>
  <c r="K273" i="4"/>
  <c r="K274" i="4"/>
  <c r="K276" i="4"/>
  <c r="K277" i="4"/>
  <c r="K280" i="4"/>
  <c r="K281" i="4"/>
  <c r="K284" i="4"/>
  <c r="K285" i="4"/>
  <c r="K288" i="4"/>
  <c r="K289" i="4"/>
  <c r="K292" i="4"/>
  <c r="K293" i="4"/>
  <c r="K296" i="4"/>
  <c r="K297" i="4"/>
  <c r="K300" i="4"/>
  <c r="K301" i="4"/>
  <c r="K302" i="4"/>
  <c r="K304" i="4"/>
  <c r="K305" i="4"/>
  <c r="K308" i="4"/>
  <c r="K309" i="4"/>
  <c r="K312" i="4"/>
  <c r="K313" i="4"/>
  <c r="K316" i="4"/>
  <c r="K317" i="4"/>
  <c r="K320" i="4"/>
  <c r="K321" i="4"/>
  <c r="K324" i="4"/>
  <c r="K325" i="4"/>
  <c r="K326" i="4"/>
  <c r="K328" i="4"/>
  <c r="K329" i="4"/>
  <c r="K332" i="4"/>
  <c r="K333" i="4"/>
  <c r="K334" i="4"/>
  <c r="K336" i="4"/>
  <c r="K337" i="4"/>
  <c r="K340" i="4"/>
  <c r="K341" i="4"/>
  <c r="K344" i="4"/>
  <c r="K345" i="4"/>
  <c r="K346" i="4"/>
  <c r="K348" i="4"/>
  <c r="K349" i="4"/>
  <c r="K352" i="4"/>
  <c r="K353" i="4"/>
  <c r="K356" i="4"/>
  <c r="K357" i="4"/>
  <c r="K358" i="4"/>
  <c r="K360" i="4"/>
  <c r="K361" i="4"/>
  <c r="K364" i="4"/>
  <c r="K365" i="4"/>
  <c r="K368" i="4"/>
  <c r="K369" i="4"/>
  <c r="K372" i="4"/>
  <c r="K373" i="4"/>
  <c r="K376" i="4"/>
  <c r="K377" i="4"/>
  <c r="K380" i="4"/>
  <c r="K381" i="4"/>
  <c r="K384" i="4"/>
  <c r="K385" i="4"/>
  <c r="K388" i="4"/>
  <c r="K389" i="4"/>
  <c r="K390" i="4"/>
  <c r="K392" i="4"/>
  <c r="K393" i="4"/>
  <c r="K394" i="4"/>
  <c r="K396" i="4"/>
  <c r="K397" i="4"/>
  <c r="K400" i="4"/>
  <c r="K401" i="4"/>
  <c r="K402" i="4"/>
  <c r="K404" i="4"/>
  <c r="K408" i="4"/>
  <c r="K409" i="4"/>
  <c r="K412" i="4"/>
  <c r="K416" i="4"/>
  <c r="K417" i="4"/>
  <c r="K420" i="4"/>
  <c r="K421" i="4"/>
  <c r="K424" i="4"/>
  <c r="K425" i="4"/>
  <c r="K426" i="4"/>
  <c r="K428" i="4"/>
  <c r="K429" i="4"/>
  <c r="K432" i="4"/>
  <c r="K436" i="4"/>
  <c r="K437" i="4"/>
  <c r="K440" i="4"/>
  <c r="K441" i="4"/>
  <c r="K444" i="4"/>
  <c r="K445" i="4"/>
  <c r="K448" i="4"/>
  <c r="K449" i="4"/>
  <c r="K452" i="4"/>
  <c r="K453" i="4"/>
  <c r="K454" i="4"/>
  <c r="K456" i="4"/>
  <c r="K460" i="4"/>
  <c r="K461" i="4"/>
  <c r="K462" i="4"/>
  <c r="K465" i="4"/>
  <c r="K468" i="4"/>
  <c r="K472" i="4"/>
  <c r="L472" i="4" s="1"/>
  <c r="M472" i="4" s="1"/>
  <c r="N472" i="4" s="1"/>
  <c r="K473" i="4"/>
  <c r="K476" i="4"/>
  <c r="K477" i="4"/>
  <c r="K484" i="4"/>
  <c r="K485" i="4"/>
  <c r="K488" i="4"/>
  <c r="K492" i="4"/>
  <c r="K493" i="4"/>
  <c r="K497" i="4"/>
  <c r="K502" i="4"/>
  <c r="K503" i="4"/>
  <c r="K504" i="4"/>
  <c r="K508" i="4"/>
  <c r="K509" i="4"/>
  <c r="K513" i="4"/>
  <c r="K517" i="4"/>
  <c r="K518" i="4"/>
  <c r="K520" i="4"/>
  <c r="K524" i="4"/>
  <c r="K525" i="4"/>
  <c r="K526" i="4"/>
  <c r="K529" i="4"/>
  <c r="K532" i="4"/>
  <c r="K536" i="4"/>
  <c r="K537" i="4"/>
  <c r="K541" i="4"/>
  <c r="K549" i="4"/>
  <c r="K557" i="4"/>
  <c r="K560" i="4"/>
  <c r="K561" i="4"/>
  <c r="K566" i="4"/>
  <c r="K567" i="4"/>
  <c r="K573" i="4"/>
  <c r="K576" i="4"/>
  <c r="K577" i="4"/>
  <c r="K581" i="4"/>
  <c r="K582" i="4"/>
  <c r="K589" i="4"/>
  <c r="K590" i="4"/>
  <c r="K593" i="4"/>
  <c r="K596" i="4"/>
  <c r="K601" i="4"/>
  <c r="K605" i="4"/>
  <c r="K612" i="4"/>
  <c r="K613" i="4"/>
  <c r="K620" i="4"/>
  <c r="K621" i="4"/>
  <c r="K625" i="4"/>
  <c r="K632" i="4"/>
  <c r="K633" i="4"/>
  <c r="K640" i="4"/>
  <c r="K641" i="4"/>
  <c r="K642" i="4"/>
  <c r="K643" i="4"/>
  <c r="K648" i="4"/>
  <c r="J5" i="4"/>
  <c r="J11" i="4"/>
  <c r="J12" i="4"/>
  <c r="J23" i="4"/>
  <c r="J33" i="4"/>
  <c r="J39" i="4"/>
  <c r="J49" i="4"/>
  <c r="J51" i="4"/>
  <c r="J57" i="4"/>
  <c r="J75" i="4"/>
  <c r="J85" i="4"/>
  <c r="J87" i="4"/>
  <c r="J97" i="4"/>
  <c r="J101" i="4"/>
  <c r="J113" i="4"/>
  <c r="J117" i="4"/>
  <c r="J119" i="4"/>
  <c r="J125" i="4"/>
  <c r="J129" i="4"/>
  <c r="J131" i="4"/>
  <c r="J132" i="4"/>
  <c r="J133" i="4"/>
  <c r="J137" i="4"/>
  <c r="J141" i="4"/>
  <c r="J143" i="4"/>
  <c r="J145" i="4"/>
  <c r="J149" i="4"/>
  <c r="J153" i="4"/>
  <c r="J157" i="4"/>
  <c r="J160" i="4"/>
  <c r="J161" i="4"/>
  <c r="J165" i="4"/>
  <c r="J169" i="4"/>
  <c r="J173" i="4"/>
  <c r="J175" i="4"/>
  <c r="J177" i="4"/>
  <c r="J181" i="4"/>
  <c r="J185" i="4"/>
  <c r="J189" i="4"/>
  <c r="J193" i="4"/>
  <c r="J195" i="4"/>
  <c r="J197" i="4"/>
  <c r="J201" i="4"/>
  <c r="J205" i="4"/>
  <c r="J209" i="4"/>
  <c r="J210" i="4"/>
  <c r="J211" i="4"/>
  <c r="J212" i="4"/>
  <c r="J213" i="4"/>
  <c r="J217" i="4"/>
  <c r="J221" i="4"/>
  <c r="J223" i="4"/>
  <c r="J225" i="4"/>
  <c r="J229" i="4"/>
  <c r="J233" i="4"/>
  <c r="J237" i="4"/>
  <c r="J239" i="4"/>
  <c r="J241" i="4"/>
  <c r="J245" i="4"/>
  <c r="J249" i="4"/>
  <c r="J253" i="4"/>
  <c r="J257" i="4"/>
  <c r="J261" i="4"/>
  <c r="J263" i="4"/>
  <c r="J264" i="4"/>
  <c r="J265" i="4"/>
  <c r="J269" i="4"/>
  <c r="J273" i="4"/>
  <c r="J277" i="4"/>
  <c r="J281" i="4"/>
  <c r="J285" i="4"/>
  <c r="J287" i="4"/>
  <c r="J289" i="4"/>
  <c r="J293" i="4"/>
  <c r="J297" i="4"/>
  <c r="J301" i="4"/>
  <c r="J303" i="4"/>
  <c r="J305" i="4"/>
  <c r="J309" i="4"/>
  <c r="J311" i="4"/>
  <c r="J313" i="4"/>
  <c r="J317" i="4"/>
  <c r="J321" i="4"/>
  <c r="J325" i="4"/>
  <c r="J326" i="4"/>
  <c r="J327" i="4"/>
  <c r="J329" i="4"/>
  <c r="J333" i="4"/>
  <c r="J337" i="4"/>
  <c r="J341" i="4"/>
  <c r="J345" i="4"/>
  <c r="J346" i="4"/>
  <c r="J349" i="4"/>
  <c r="J351" i="4"/>
  <c r="J353" i="4"/>
  <c r="J357" i="4"/>
  <c r="J361" i="4"/>
  <c r="J362" i="4"/>
  <c r="J365" i="4"/>
  <c r="J369" i="4"/>
  <c r="J373" i="4"/>
  <c r="J375" i="4"/>
  <c r="J377" i="4"/>
  <c r="J381" i="4"/>
  <c r="J385" i="4"/>
  <c r="J389" i="4"/>
  <c r="J393" i="4"/>
  <c r="J397" i="4"/>
  <c r="J399" i="4"/>
  <c r="J400" i="4"/>
  <c r="J401" i="4"/>
  <c r="J405" i="4"/>
  <c r="J409" i="4"/>
  <c r="J417" i="4"/>
  <c r="J421" i="4"/>
  <c r="J422" i="4"/>
  <c r="J423" i="4"/>
  <c r="J424" i="4"/>
  <c r="J425" i="4"/>
  <c r="J429" i="4"/>
  <c r="J433" i="4"/>
  <c r="J437" i="4"/>
  <c r="J441" i="4"/>
  <c r="J445" i="4"/>
  <c r="J447" i="4"/>
  <c r="J448" i="4"/>
  <c r="J449" i="4"/>
  <c r="J453" i="4"/>
  <c r="J457" i="4"/>
  <c r="J461" i="4"/>
  <c r="J465" i="4"/>
  <c r="J469" i="4"/>
  <c r="J471" i="4"/>
  <c r="J473" i="4"/>
  <c r="J477" i="4"/>
  <c r="J481" i="4"/>
  <c r="J485" i="4"/>
  <c r="J489" i="4"/>
  <c r="J493" i="4"/>
  <c r="J495" i="4"/>
  <c r="J497" i="4"/>
  <c r="J501" i="4"/>
  <c r="J505" i="4"/>
  <c r="J509" i="4"/>
  <c r="J513" i="4"/>
  <c r="J517" i="4"/>
  <c r="J519" i="4"/>
  <c r="J521" i="4"/>
  <c r="J525" i="4"/>
  <c r="J529" i="4"/>
  <c r="J533" i="4"/>
  <c r="J534" i="4"/>
  <c r="J537" i="4"/>
  <c r="J541" i="4"/>
  <c r="J543" i="4"/>
  <c r="J545" i="4"/>
  <c r="J549" i="4"/>
  <c r="J553" i="4"/>
  <c r="J557" i="4"/>
  <c r="J559" i="4"/>
  <c r="J561" i="4"/>
  <c r="J565" i="4"/>
  <c r="J567" i="4"/>
  <c r="J569" i="4"/>
  <c r="J573" i="4"/>
  <c r="J577" i="4"/>
  <c r="J581" i="4"/>
  <c r="J583" i="4"/>
  <c r="J585" i="4"/>
  <c r="J589" i="4"/>
  <c r="J591" i="4"/>
  <c r="J592" i="4"/>
  <c r="J593" i="4"/>
  <c r="J597" i="4"/>
  <c r="J601" i="4"/>
  <c r="J605" i="4"/>
  <c r="J609" i="4"/>
  <c r="J610" i="4"/>
  <c r="J613" i="4"/>
  <c r="J617" i="4"/>
  <c r="J621" i="4"/>
  <c r="J623" i="4"/>
  <c r="J625" i="4"/>
  <c r="J629" i="4"/>
  <c r="J631" i="4"/>
  <c r="J632" i="4"/>
  <c r="J637" i="4"/>
  <c r="J641" i="4"/>
  <c r="J642" i="4"/>
  <c r="J645" i="4"/>
  <c r="J649" i="4"/>
  <c r="E285" i="5"/>
  <c r="C285" i="5"/>
  <c r="E270" i="5"/>
  <c r="C270" i="5"/>
  <c r="E239" i="5"/>
  <c r="C239" i="5"/>
  <c r="E238" i="5"/>
  <c r="C238" i="5"/>
  <c r="E235" i="5"/>
  <c r="C235" i="5"/>
  <c r="E228" i="5"/>
  <c r="C228" i="5"/>
  <c r="E226" i="5"/>
  <c r="E147" i="5"/>
  <c r="E168" i="5"/>
  <c r="C147" i="5"/>
  <c r="C226" i="5"/>
  <c r="D168" i="5"/>
  <c r="C168" i="5"/>
  <c r="L127" i="4" l="1"/>
  <c r="M127" i="4" s="1"/>
  <c r="N127" i="4" s="1"/>
  <c r="O127" i="4" s="1"/>
  <c r="L44" i="4"/>
  <c r="M44" i="4" s="1"/>
  <c r="N44" i="4" s="1"/>
  <c r="O44" i="4" s="1"/>
  <c r="L256" i="4"/>
  <c r="M256" i="4" s="1"/>
  <c r="N256" i="4" s="1"/>
  <c r="L440" i="4"/>
  <c r="M440" i="4" s="1"/>
  <c r="N440" i="4" s="1"/>
  <c r="O440" i="4" s="1"/>
  <c r="L312" i="4"/>
  <c r="M312" i="4" s="1"/>
  <c r="N312" i="4" s="1"/>
  <c r="O312" i="4" s="1"/>
  <c r="L112" i="4"/>
  <c r="M112" i="4" s="1"/>
  <c r="N112" i="4" s="1"/>
  <c r="O112" i="4" s="1"/>
  <c r="L38" i="4"/>
  <c r="M38" i="4" s="1"/>
  <c r="N38" i="4" s="1"/>
  <c r="O38" i="4" s="1"/>
  <c r="L60" i="4"/>
  <c r="M60" i="4" s="1"/>
  <c r="N60" i="4" s="1"/>
  <c r="O60" i="4" s="1"/>
  <c r="L114" i="4"/>
  <c r="M114" i="4" s="1"/>
  <c r="N114" i="4" s="1"/>
  <c r="O114" i="4" s="1"/>
  <c r="L46" i="4"/>
  <c r="M46" i="4" s="1"/>
  <c r="N46" i="4" s="1"/>
  <c r="O46" i="4" s="1"/>
  <c r="L456" i="4"/>
  <c r="M456" i="4" s="1"/>
  <c r="N456" i="4" s="1"/>
  <c r="O456" i="4" s="1"/>
  <c r="L313" i="4"/>
  <c r="M313" i="4" s="1"/>
  <c r="N313" i="4" s="1"/>
  <c r="O313" i="4" s="1"/>
  <c r="L439" i="4"/>
  <c r="M439" i="4" s="1"/>
  <c r="N439" i="4" s="1"/>
  <c r="O439" i="4" s="1"/>
  <c r="L587" i="4"/>
  <c r="M587" i="4" s="1"/>
  <c r="N587" i="4" s="1"/>
  <c r="O587" i="4" s="1"/>
  <c r="L579" i="4"/>
  <c r="M579" i="4" s="1"/>
  <c r="N579" i="4" s="1"/>
  <c r="O579" i="4" s="1"/>
  <c r="L18" i="4"/>
  <c r="M18" i="4" s="1"/>
  <c r="N18" i="4" s="1"/>
  <c r="O18" i="4" s="1"/>
  <c r="L71" i="4"/>
  <c r="M71" i="4" s="1"/>
  <c r="N71" i="4" s="1"/>
  <c r="O71" i="4" s="1"/>
  <c r="L58" i="4"/>
  <c r="M58" i="4" s="1"/>
  <c r="N58" i="4" s="1"/>
  <c r="O58" i="4" s="1"/>
  <c r="L467" i="4"/>
  <c r="M467" i="4" s="1"/>
  <c r="N467" i="4" s="1"/>
  <c r="O467" i="4" s="1"/>
  <c r="L443" i="4"/>
  <c r="M443" i="4" s="1"/>
  <c r="N443" i="4" s="1"/>
  <c r="O443" i="4" s="1"/>
  <c r="L436" i="4"/>
  <c r="M436" i="4" s="1"/>
  <c r="N436" i="4" s="1"/>
  <c r="O436" i="4" s="1"/>
  <c r="L420" i="4"/>
  <c r="M420" i="4" s="1"/>
  <c r="N420" i="4" s="1"/>
  <c r="O420" i="4" s="1"/>
  <c r="L522" i="4"/>
  <c r="M522" i="4" s="1"/>
  <c r="N522" i="4" s="1"/>
  <c r="O522" i="4" s="1"/>
  <c r="L514" i="4"/>
  <c r="M514" i="4" s="1"/>
  <c r="N514" i="4" s="1"/>
  <c r="O514" i="4" s="1"/>
  <c r="L499" i="4"/>
  <c r="M499" i="4" s="1"/>
  <c r="N499" i="4" s="1"/>
  <c r="O499" i="4" s="1"/>
  <c r="L486" i="4"/>
  <c r="M486" i="4" s="1"/>
  <c r="N486" i="4" s="1"/>
  <c r="O486" i="4" s="1"/>
  <c r="L479" i="4"/>
  <c r="M479" i="4" s="1"/>
  <c r="N479" i="4" s="1"/>
  <c r="O479" i="4" s="1"/>
  <c r="L516" i="4"/>
  <c r="M516" i="4" s="1"/>
  <c r="N516" i="4" s="1"/>
  <c r="O516" i="4" s="1"/>
  <c r="L264" i="4"/>
  <c r="M264" i="4" s="1"/>
  <c r="N264" i="4" s="1"/>
  <c r="O264" i="4" s="1"/>
  <c r="L220" i="4"/>
  <c r="M220" i="4" s="1"/>
  <c r="N220" i="4" s="1"/>
  <c r="O220" i="4" s="1"/>
  <c r="L40" i="4"/>
  <c r="M40" i="4" s="1"/>
  <c r="L92" i="4"/>
  <c r="M92" i="4" s="1"/>
  <c r="N92" i="4" s="1"/>
  <c r="O92" i="4" s="1"/>
  <c r="L388" i="4"/>
  <c r="M388" i="4" s="1"/>
  <c r="L108" i="4"/>
  <c r="M108" i="4" s="1"/>
  <c r="L64" i="4"/>
  <c r="M64" i="4" s="1"/>
  <c r="L8" i="4"/>
  <c r="M8" i="4" s="1"/>
  <c r="N8" i="4" s="1"/>
  <c r="O8" i="4" s="1"/>
  <c r="L580" i="4"/>
  <c r="M580" i="4" s="1"/>
  <c r="N580" i="4" s="1"/>
  <c r="O580" i="4" s="1"/>
  <c r="L142" i="4"/>
  <c r="M142" i="4" s="1"/>
  <c r="N142" i="4" s="1"/>
  <c r="L234" i="4"/>
  <c r="M234" i="4" s="1"/>
  <c r="L445" i="4"/>
  <c r="M445" i="4" s="1"/>
  <c r="N445" i="4" s="1"/>
  <c r="L379" i="4"/>
  <c r="M379" i="4" s="1"/>
  <c r="N379" i="4" s="1"/>
  <c r="L315" i="4"/>
  <c r="M315" i="4" s="1"/>
  <c r="N315" i="4" s="1"/>
  <c r="L147" i="4"/>
  <c r="M147" i="4" s="1"/>
  <c r="N147" i="4" s="1"/>
  <c r="L115" i="4"/>
  <c r="M115" i="4" s="1"/>
  <c r="N115" i="4" s="1"/>
  <c r="L137" i="4"/>
  <c r="M137" i="4" s="1"/>
  <c r="N137" i="4" s="1"/>
  <c r="L262" i="4"/>
  <c r="M262" i="4" s="1"/>
  <c r="N262" i="4" s="1"/>
  <c r="L592" i="4"/>
  <c r="M592" i="4" s="1"/>
  <c r="N592" i="4" s="1"/>
  <c r="L447" i="4"/>
  <c r="M447" i="4" s="1"/>
  <c r="N447" i="4" s="1"/>
  <c r="O472" i="4"/>
  <c r="O256" i="4"/>
  <c r="L152" i="4"/>
  <c r="M152" i="4" s="1"/>
  <c r="N152" i="4" s="1"/>
  <c r="L146" i="4"/>
  <c r="M146" i="4" s="1"/>
  <c r="N146" i="4" s="1"/>
  <c r="L7" i="4"/>
  <c r="M7" i="4" s="1"/>
  <c r="N7" i="4" s="1"/>
  <c r="L608" i="4"/>
  <c r="M608" i="4" s="1"/>
  <c r="N608" i="4" s="1"/>
  <c r="L478" i="4"/>
  <c r="M478" i="4" s="1"/>
  <c r="N478" i="4" s="1"/>
  <c r="L35" i="4"/>
  <c r="M35" i="4" s="1"/>
  <c r="N35" i="4" s="1"/>
  <c r="L470" i="4"/>
  <c r="M470" i="4" s="1"/>
  <c r="N470" i="4" s="1"/>
  <c r="L569" i="4"/>
  <c r="M569" i="4" s="1"/>
  <c r="N569" i="4" s="1"/>
  <c r="L510" i="4"/>
  <c r="M510" i="4" s="1"/>
  <c r="N510" i="4" s="1"/>
  <c r="L475" i="4"/>
  <c r="M475" i="4" s="1"/>
  <c r="N475" i="4" s="1"/>
  <c r="L307" i="4"/>
  <c r="M307" i="4" s="1"/>
  <c r="N307" i="4" s="1"/>
  <c r="L291" i="4"/>
  <c r="M291" i="4" s="1"/>
  <c r="N291" i="4" s="1"/>
  <c r="L139" i="4"/>
  <c r="M139" i="4" s="1"/>
  <c r="N139" i="4" s="1"/>
  <c r="L87" i="4"/>
  <c r="M87" i="4" s="1"/>
  <c r="N87" i="4" s="1"/>
  <c r="L397" i="4"/>
  <c r="M397" i="4" s="1"/>
  <c r="N397" i="4" s="1"/>
  <c r="L303" i="4"/>
  <c r="M303" i="4" s="1"/>
  <c r="N303" i="4" s="1"/>
  <c r="L86" i="4"/>
  <c r="M86" i="4" s="1"/>
  <c r="N86" i="4" s="1"/>
  <c r="L507" i="4"/>
  <c r="M507" i="4" s="1"/>
  <c r="N507" i="4" s="1"/>
  <c r="L49" i="4"/>
  <c r="M49" i="4" s="1"/>
  <c r="N49" i="4" s="1"/>
  <c r="L485" i="4"/>
  <c r="M485" i="4" s="1"/>
  <c r="N485" i="4" s="1"/>
  <c r="L465" i="4"/>
  <c r="M465" i="4" s="1"/>
  <c r="N465" i="4" s="1"/>
  <c r="L111" i="4"/>
  <c r="M111" i="4" s="1"/>
  <c r="N111" i="4" s="1"/>
  <c r="L578" i="4"/>
  <c r="M578" i="4" s="1"/>
  <c r="N578" i="4" s="1"/>
  <c r="L527" i="4"/>
  <c r="M527" i="4" s="1"/>
  <c r="N527" i="4" s="1"/>
  <c r="L463" i="4"/>
  <c r="M463" i="4" s="1"/>
  <c r="N463" i="4" s="1"/>
  <c r="L431" i="4"/>
  <c r="M431" i="4" s="1"/>
  <c r="N431" i="4" s="1"/>
  <c r="L402" i="4"/>
  <c r="M402" i="4" s="1"/>
  <c r="N402" i="4" s="1"/>
  <c r="L391" i="4"/>
  <c r="M391" i="4" s="1"/>
  <c r="N391" i="4" s="1"/>
  <c r="L311" i="4"/>
  <c r="M311" i="4" s="1"/>
  <c r="N311" i="4" s="1"/>
  <c r="L279" i="4"/>
  <c r="M279" i="4" s="1"/>
  <c r="N279" i="4" s="1"/>
  <c r="L255" i="4"/>
  <c r="M255" i="4" s="1"/>
  <c r="N255" i="4" s="1"/>
  <c r="L135" i="4"/>
  <c r="M135" i="4" s="1"/>
  <c r="N135" i="4" s="1"/>
  <c r="L67" i="4"/>
  <c r="M67" i="4" s="1"/>
  <c r="N67" i="4" s="1"/>
  <c r="L444" i="4"/>
  <c r="M444" i="4" s="1"/>
  <c r="N444" i="4" s="1"/>
  <c r="L583" i="4"/>
  <c r="M583" i="4" s="1"/>
  <c r="N583" i="4" s="1"/>
  <c r="L441" i="4"/>
  <c r="M441" i="4" s="1"/>
  <c r="N441" i="4" s="1"/>
  <c r="L574" i="4"/>
  <c r="M574" i="4" s="1"/>
  <c r="N574" i="4" s="1"/>
  <c r="L530" i="4"/>
  <c r="M530" i="4" s="1"/>
  <c r="N530" i="4" s="1"/>
  <c r="L70" i="4"/>
  <c r="M70" i="4" s="1"/>
  <c r="N70" i="4" s="1"/>
  <c r="L590" i="4"/>
  <c r="M590" i="4" s="1"/>
  <c r="N590" i="4" s="1"/>
  <c r="L576" i="4"/>
  <c r="M576" i="4" s="1"/>
  <c r="N576" i="4" s="1"/>
  <c r="L508" i="4"/>
  <c r="M508" i="4" s="1"/>
  <c r="N508" i="4" s="1"/>
  <c r="L454" i="4"/>
  <c r="M454" i="4" s="1"/>
  <c r="N454" i="4" s="1"/>
  <c r="L425" i="4"/>
  <c r="M425" i="4" s="1"/>
  <c r="N425" i="4" s="1"/>
  <c r="L228" i="4"/>
  <c r="M228" i="4" s="1"/>
  <c r="N228" i="4" s="1"/>
  <c r="L141" i="4"/>
  <c r="M141" i="4" s="1"/>
  <c r="N141" i="4" s="1"/>
  <c r="L128" i="4"/>
  <c r="M128" i="4" s="1"/>
  <c r="N128" i="4" s="1"/>
  <c r="L85" i="4"/>
  <c r="M85" i="4" s="1"/>
  <c r="N85" i="4" s="1"/>
  <c r="L57" i="4"/>
  <c r="M57" i="4" s="1"/>
  <c r="N57" i="4" s="1"/>
  <c r="L32" i="4"/>
  <c r="M32" i="4" s="1"/>
  <c r="N32" i="4" s="1"/>
  <c r="L563" i="4"/>
  <c r="M563" i="4" s="1"/>
  <c r="N563" i="4" s="1"/>
  <c r="L457" i="4"/>
  <c r="M457" i="4" s="1"/>
  <c r="N457" i="4" s="1"/>
  <c r="L362" i="4"/>
  <c r="M362" i="4" s="1"/>
  <c r="N362" i="4" s="1"/>
  <c r="L319" i="4"/>
  <c r="M319" i="4" s="1"/>
  <c r="N319" i="4" s="1"/>
  <c r="L151" i="4"/>
  <c r="M151" i="4" s="1"/>
  <c r="N151" i="4" s="1"/>
  <c r="L104" i="4"/>
  <c r="M104" i="4" s="1"/>
  <c r="N104" i="4" s="1"/>
  <c r="L83" i="4"/>
  <c r="M83" i="4" s="1"/>
  <c r="N83" i="4" s="1"/>
  <c r="L76" i="4"/>
  <c r="M76" i="4" s="1"/>
  <c r="N76" i="4" s="1"/>
  <c r="L68" i="4"/>
  <c r="M68" i="4" s="1"/>
  <c r="N68" i="4" s="1"/>
  <c r="L24" i="4"/>
  <c r="M24" i="4" s="1"/>
  <c r="N24" i="4" s="1"/>
  <c r="L101" i="4"/>
  <c r="M101" i="4" s="1"/>
  <c r="N101" i="4" s="1"/>
  <c r="L48" i="4"/>
  <c r="M48" i="4" s="1"/>
  <c r="N48" i="4" s="1"/>
  <c r="L5" i="4"/>
  <c r="M5" i="4" s="1"/>
  <c r="N5" i="4" s="1"/>
  <c r="L320" i="4"/>
  <c r="M320" i="4" s="1"/>
  <c r="N320" i="4" s="1"/>
  <c r="L174" i="4"/>
  <c r="M174" i="4" s="1"/>
  <c r="N174" i="4" s="1"/>
  <c r="L138" i="4"/>
  <c r="M138" i="4" s="1"/>
  <c r="N138" i="4" s="1"/>
  <c r="L39" i="4"/>
  <c r="M39" i="4" s="1"/>
  <c r="N39" i="4" s="1"/>
  <c r="L268" i="4"/>
  <c r="M268" i="4" s="1"/>
  <c r="N268" i="4" s="1"/>
  <c r="L140" i="4"/>
  <c r="M140" i="4" s="1"/>
  <c r="N140" i="4" s="1"/>
  <c r="L125" i="4"/>
  <c r="M125" i="4" s="1"/>
  <c r="N125" i="4" s="1"/>
  <c r="L505" i="4"/>
  <c r="M505" i="4" s="1"/>
  <c r="N505" i="4" s="1"/>
  <c r="L471" i="4"/>
  <c r="M471" i="4" s="1"/>
  <c r="N471" i="4" s="1"/>
  <c r="L263" i="4"/>
  <c r="M263" i="4" s="1"/>
  <c r="N263" i="4" s="1"/>
  <c r="L119" i="4"/>
  <c r="M119" i="4" s="1"/>
  <c r="N119" i="4" s="1"/>
  <c r="L75" i="4"/>
  <c r="M75" i="4" s="1"/>
  <c r="N75" i="4" s="1"/>
  <c r="L23" i="4"/>
  <c r="M23" i="4" s="1"/>
  <c r="N23" i="4" s="1"/>
  <c r="L50" i="4"/>
  <c r="M50" i="4" s="1"/>
  <c r="N50" i="4" s="1"/>
  <c r="L473" i="4"/>
  <c r="M473" i="4" s="1"/>
  <c r="N473" i="4" s="1"/>
  <c r="L78" i="4"/>
  <c r="M78" i="4" s="1"/>
  <c r="N78" i="4" s="1"/>
  <c r="L593" i="4"/>
  <c r="M593" i="4" s="1"/>
  <c r="N593" i="4" s="1"/>
  <c r="L581" i="4"/>
  <c r="M581" i="4" s="1"/>
  <c r="N581" i="4" s="1"/>
  <c r="L589" i="4"/>
  <c r="M589" i="4" s="1"/>
  <c r="N589" i="4" s="1"/>
  <c r="L468" i="4"/>
  <c r="M468" i="4" s="1"/>
  <c r="N468" i="4" s="1"/>
  <c r="L453" i="4"/>
  <c r="M453" i="4" s="1"/>
  <c r="N453" i="4" s="1"/>
  <c r="L69" i="4"/>
  <c r="M69" i="4" s="1"/>
  <c r="N69" i="4" s="1"/>
  <c r="L56" i="4"/>
  <c r="M56" i="4" s="1"/>
  <c r="N56" i="4" s="1"/>
  <c r="L81" i="4"/>
  <c r="M81" i="4" s="1"/>
  <c r="N81" i="4" s="1"/>
  <c r="L55" i="4"/>
  <c r="M55" i="4" s="1"/>
  <c r="N55" i="4" s="1"/>
  <c r="L490" i="4"/>
  <c r="M490" i="4" s="1"/>
  <c r="N490" i="4" s="1"/>
  <c r="L74" i="4"/>
  <c r="M74" i="4" s="1"/>
  <c r="N74" i="4" s="1"/>
  <c r="L306" i="4"/>
  <c r="M306" i="4" s="1"/>
  <c r="N306" i="4" s="1"/>
  <c r="L477" i="4"/>
  <c r="M477" i="4" s="1"/>
  <c r="N477" i="4" s="1"/>
  <c r="L105" i="4"/>
  <c r="M105" i="4" s="1"/>
  <c r="N105" i="4" s="1"/>
  <c r="L77" i="4"/>
  <c r="M77" i="4" s="1"/>
  <c r="N77" i="4" s="1"/>
  <c r="L11" i="4"/>
  <c r="M11" i="4" s="1"/>
  <c r="N11" i="4" s="1"/>
  <c r="L584" i="4"/>
  <c r="M584" i="4" s="1"/>
  <c r="N584" i="4" s="1"/>
  <c r="L568" i="4"/>
  <c r="M568" i="4" s="1"/>
  <c r="N568" i="4" s="1"/>
  <c r="L552" i="4"/>
  <c r="M552" i="4" s="1"/>
  <c r="N552" i="4" s="1"/>
  <c r="L532" i="4"/>
  <c r="M532" i="4" s="1"/>
  <c r="N532" i="4" s="1"/>
  <c r="L517" i="4"/>
  <c r="M517" i="4" s="1"/>
  <c r="N517" i="4" s="1"/>
  <c r="L449" i="4"/>
  <c r="M449" i="4" s="1"/>
  <c r="N449" i="4" s="1"/>
  <c r="L265" i="4"/>
  <c r="M265" i="4" s="1"/>
  <c r="N265" i="4" s="1"/>
  <c r="L80" i="4"/>
  <c r="M80" i="4" s="1"/>
  <c r="N80" i="4" s="1"/>
  <c r="L25" i="4"/>
  <c r="M25" i="4" s="1"/>
  <c r="N25" i="4" s="1"/>
  <c r="L627" i="4"/>
  <c r="M627" i="4" s="1"/>
  <c r="N627" i="4" s="1"/>
  <c r="L619" i="4"/>
  <c r="M619" i="4" s="1"/>
  <c r="N619" i="4" s="1"/>
  <c r="L594" i="4"/>
  <c r="M594" i="4" s="1"/>
  <c r="N594" i="4" s="1"/>
  <c r="L585" i="4"/>
  <c r="M585" i="4" s="1"/>
  <c r="N585" i="4" s="1"/>
  <c r="L570" i="4"/>
  <c r="M570" i="4" s="1"/>
  <c r="N570" i="4" s="1"/>
  <c r="L539" i="4"/>
  <c r="M539" i="4" s="1"/>
  <c r="N539" i="4" s="1"/>
  <c r="L533" i="4"/>
  <c r="M533" i="4" s="1"/>
  <c r="N533" i="4" s="1"/>
  <c r="L430" i="4"/>
  <c r="M430" i="4" s="1"/>
  <c r="N430" i="4" s="1"/>
  <c r="L414" i="4"/>
  <c r="M414" i="4" s="1"/>
  <c r="N414" i="4" s="1"/>
  <c r="L254" i="4"/>
  <c r="M254" i="4" s="1"/>
  <c r="N254" i="4" s="1"/>
  <c r="L238" i="4"/>
  <c r="M238" i="4" s="1"/>
  <c r="N238" i="4" s="1"/>
  <c r="L102" i="4"/>
  <c r="M102" i="4" s="1"/>
  <c r="N102" i="4" s="1"/>
  <c r="L66" i="4"/>
  <c r="M66" i="4" s="1"/>
  <c r="N66" i="4" s="1"/>
  <c r="L51" i="4"/>
  <c r="M51" i="4" s="1"/>
  <c r="N51" i="4" s="1"/>
  <c r="L509" i="4"/>
  <c r="M509" i="4" s="1"/>
  <c r="N509" i="4" s="1"/>
  <c r="L448" i="4"/>
  <c r="M448" i="4" s="1"/>
  <c r="N448" i="4" s="1"/>
  <c r="L406" i="4"/>
  <c r="M406" i="4" s="1"/>
  <c r="N406" i="4" s="1"/>
  <c r="L42" i="4"/>
  <c r="M42" i="4" s="1"/>
  <c r="N42" i="4" s="1"/>
  <c r="L16" i="4"/>
  <c r="M16" i="4" s="1"/>
  <c r="N16" i="4" s="1"/>
  <c r="L269" i="4"/>
  <c r="M269" i="4" s="1"/>
  <c r="N269" i="4" s="1"/>
  <c r="L169" i="4"/>
  <c r="M169" i="4" s="1"/>
  <c r="N169" i="4" s="1"/>
  <c r="L389" i="4"/>
  <c r="M389" i="4" s="1"/>
  <c r="N389" i="4" s="1"/>
  <c r="L293" i="4"/>
  <c r="M293" i="4" s="1"/>
  <c r="N293" i="4" s="1"/>
  <c r="L136" i="4"/>
  <c r="M136" i="4" s="1"/>
  <c r="N136" i="4" s="1"/>
  <c r="L12" i="4"/>
  <c r="M12" i="4" s="1"/>
  <c r="N12" i="4" s="1"/>
  <c r="L511" i="4"/>
  <c r="M511" i="4" s="1"/>
  <c r="N511" i="4" s="1"/>
  <c r="L469" i="4"/>
  <c r="M469" i="4" s="1"/>
  <c r="N469" i="4" s="1"/>
  <c r="L455" i="4"/>
  <c r="M455" i="4" s="1"/>
  <c r="N455" i="4" s="1"/>
  <c r="L446" i="4"/>
  <c r="M446" i="4" s="1"/>
  <c r="N446" i="4" s="1"/>
  <c r="L308" i="4"/>
  <c r="M308" i="4" s="1"/>
  <c r="N308" i="4" s="1"/>
  <c r="L82" i="4"/>
  <c r="M82" i="4" s="1"/>
  <c r="N82" i="4" s="1"/>
  <c r="L28" i="4"/>
  <c r="M28" i="4" s="1"/>
  <c r="N28" i="4" s="1"/>
  <c r="L393" i="4"/>
  <c r="M393" i="4" s="1"/>
  <c r="N393" i="4" s="1"/>
  <c r="L241" i="4"/>
  <c r="M241" i="4" s="1"/>
  <c r="N241" i="4" s="1"/>
  <c r="L33" i="4"/>
  <c r="M33" i="4" s="1"/>
  <c r="N33" i="4" s="1"/>
  <c r="L464" i="4"/>
  <c r="M464" i="4" s="1"/>
  <c r="N464" i="4" s="1"/>
  <c r="L277" i="4"/>
  <c r="M277" i="4" s="1"/>
  <c r="N277" i="4" s="1"/>
  <c r="L41" i="4"/>
  <c r="M41" i="4" s="1"/>
  <c r="N41" i="4" s="1"/>
  <c r="L390" i="4"/>
  <c r="M390" i="4" s="1"/>
  <c r="N390" i="4" s="1"/>
  <c r="L318" i="4"/>
  <c r="M318" i="4" s="1"/>
  <c r="N318" i="4" s="1"/>
  <c r="L170" i="4"/>
  <c r="M170" i="4" s="1"/>
  <c r="N170" i="4" s="1"/>
  <c r="L110" i="4"/>
  <c r="M110" i="4" s="1"/>
  <c r="N110" i="4" s="1"/>
  <c r="L88" i="4"/>
  <c r="M88" i="4" s="1"/>
  <c r="N88" i="4" s="1"/>
  <c r="L59" i="4"/>
  <c r="M59" i="4" s="1"/>
  <c r="N59" i="4" s="1"/>
  <c r="L52" i="4"/>
  <c r="M52" i="4" s="1"/>
  <c r="N52" i="4" s="1"/>
  <c r="L10" i="4"/>
  <c r="M10" i="4" s="1"/>
  <c r="N10" i="4" s="1"/>
  <c r="L399" i="4"/>
  <c r="M399" i="4" s="1"/>
  <c r="N399" i="4" s="1"/>
  <c r="L566" i="4"/>
  <c r="M566" i="4" s="1"/>
  <c r="N566" i="4" s="1"/>
  <c r="L461" i="4"/>
  <c r="M461" i="4" s="1"/>
  <c r="N461" i="4" s="1"/>
  <c r="L317" i="4"/>
  <c r="M317" i="4" s="1"/>
  <c r="N317" i="4" s="1"/>
  <c r="L261" i="4"/>
  <c r="M261" i="4" s="1"/>
  <c r="N261" i="4" s="1"/>
  <c r="L133" i="4"/>
  <c r="M133" i="4" s="1"/>
  <c r="N133" i="4" s="1"/>
  <c r="L62" i="4"/>
  <c r="M62" i="4" s="1"/>
  <c r="N62" i="4" s="1"/>
  <c r="L37" i="4"/>
  <c r="M37" i="4" s="1"/>
  <c r="N37" i="4" s="1"/>
  <c r="L501" i="4"/>
  <c r="M501" i="4" s="1"/>
  <c r="N501" i="4" s="1"/>
  <c r="L452" i="4"/>
  <c r="M452" i="4" s="1"/>
  <c r="N452" i="4" s="1"/>
  <c r="L298" i="4"/>
  <c r="M298" i="4" s="1"/>
  <c r="N298" i="4" s="1"/>
  <c r="L130" i="4"/>
  <c r="M130" i="4" s="1"/>
  <c r="N130" i="4" s="1"/>
  <c r="L567" i="4"/>
  <c r="M567" i="4" s="1"/>
  <c r="N567" i="4" s="1"/>
  <c r="L564" i="4"/>
  <c r="M564" i="4" s="1"/>
  <c r="N564" i="4" s="1"/>
  <c r="L460" i="4"/>
  <c r="M460" i="4" s="1"/>
  <c r="N460" i="4" s="1"/>
  <c r="L384" i="4"/>
  <c r="M384" i="4" s="1"/>
  <c r="N384" i="4" s="1"/>
  <c r="L61" i="4"/>
  <c r="M61" i="4" s="1"/>
  <c r="N61" i="4" s="1"/>
  <c r="L588" i="4"/>
  <c r="M588" i="4" s="1"/>
  <c r="N588" i="4" s="1"/>
  <c r="L565" i="4"/>
  <c r="M565" i="4" s="1"/>
  <c r="N565" i="4" s="1"/>
  <c r="L474" i="4"/>
  <c r="M474" i="4" s="1"/>
  <c r="N474" i="4" s="1"/>
  <c r="L290" i="4"/>
  <c r="M290" i="4" s="1"/>
  <c r="N290" i="4" s="1"/>
  <c r="L227" i="4"/>
  <c r="M227" i="4" s="1"/>
  <c r="N227" i="4" s="1"/>
  <c r="L99" i="4"/>
  <c r="M99" i="4" s="1"/>
  <c r="N99" i="4" s="1"/>
  <c r="L63" i="4"/>
  <c r="M63" i="4" s="1"/>
  <c r="N63" i="4" s="1"/>
  <c r="L26" i="4"/>
  <c r="M26" i="4" s="1"/>
  <c r="N26" i="4" s="1"/>
  <c r="L129" i="4"/>
  <c r="M129" i="4" s="1"/>
  <c r="N129" i="4" s="1"/>
  <c r="L458" i="4"/>
  <c r="M458" i="4" s="1"/>
  <c r="N458" i="4" s="1"/>
  <c r="L442" i="4"/>
  <c r="M442" i="4" s="1"/>
  <c r="N442" i="4" s="1"/>
  <c r="L433" i="4"/>
  <c r="M433" i="4" s="1"/>
  <c r="N433" i="4" s="1"/>
  <c r="L72" i="4"/>
  <c r="M72" i="4" s="1"/>
  <c r="N72" i="4" s="1"/>
  <c r="L410" i="4"/>
  <c r="M410" i="4" s="1"/>
  <c r="N410" i="4" s="1"/>
  <c r="L573" i="4"/>
  <c r="M573" i="4" s="1"/>
  <c r="N573" i="4" s="1"/>
  <c r="L98" i="4"/>
  <c r="M98" i="4" s="1"/>
  <c r="N98" i="4" s="1"/>
  <c r="L84" i="4"/>
  <c r="M84" i="4" s="1"/>
  <c r="N84" i="4" s="1"/>
  <c r="L195" i="4"/>
  <c r="M195" i="4" s="1"/>
  <c r="N195" i="4" s="1"/>
  <c r="L53" i="4"/>
  <c r="M53" i="4" s="1"/>
  <c r="N53" i="4" s="1"/>
  <c r="L382" i="4"/>
  <c r="M382" i="4" s="1"/>
  <c r="N382" i="4" s="1"/>
  <c r="L462" i="4"/>
  <c r="M462" i="4" s="1"/>
  <c r="N462" i="4" s="1"/>
  <c r="L497" i="4"/>
  <c r="M497" i="4" s="1"/>
  <c r="N497" i="4" s="1"/>
  <c r="L496" i="4"/>
  <c r="M496" i="4" s="1"/>
  <c r="N496" i="4" s="1"/>
  <c r="L476" i="4"/>
  <c r="M476" i="4" s="1"/>
  <c r="N476" i="4" s="1"/>
  <c r="L492" i="4"/>
  <c r="M492" i="4" s="1"/>
  <c r="N492" i="4" s="1"/>
  <c r="L337" i="4"/>
  <c r="M337" i="4" s="1"/>
  <c r="N337" i="4" s="1"/>
  <c r="L184" i="4"/>
  <c r="M184" i="4" s="1"/>
  <c r="N184" i="4" s="1"/>
  <c r="L4" i="4"/>
  <c r="M4" i="4" s="1"/>
  <c r="N4" i="4" s="1"/>
  <c r="L392" i="4"/>
  <c r="M392" i="4" s="1"/>
  <c r="N392" i="4" s="1"/>
  <c r="L562" i="4"/>
  <c r="M562" i="4" s="1"/>
  <c r="N562" i="4" s="1"/>
  <c r="L239" i="4"/>
  <c r="M239" i="4" s="1"/>
  <c r="N239" i="4" s="1"/>
  <c r="L95" i="4"/>
  <c r="M95" i="4" s="1"/>
  <c r="N95" i="4" s="1"/>
  <c r="L582" i="4"/>
  <c r="M582" i="4" s="1"/>
  <c r="N582" i="4" s="1"/>
  <c r="L500" i="4"/>
  <c r="M500" i="4" s="1"/>
  <c r="N500" i="4" s="1"/>
  <c r="L292" i="4"/>
  <c r="M292" i="4" s="1"/>
  <c r="N292" i="4" s="1"/>
  <c r="L120" i="4"/>
  <c r="M120" i="4" s="1"/>
  <c r="N120" i="4" s="1"/>
  <c r="L93" i="4"/>
  <c r="M93" i="4" s="1"/>
  <c r="N93" i="4" s="1"/>
  <c r="L616" i="4"/>
  <c r="M616" i="4" s="1"/>
  <c r="N616" i="4" s="1"/>
  <c r="L429" i="4"/>
  <c r="M429" i="4" s="1"/>
  <c r="N429" i="4" s="1"/>
  <c r="L416" i="4"/>
  <c r="M416" i="4" s="1"/>
  <c r="N416" i="4" s="1"/>
  <c r="L332" i="4"/>
  <c r="M332" i="4" s="1"/>
  <c r="N332" i="4" s="1"/>
  <c r="L176" i="4"/>
  <c r="M176" i="4" s="1"/>
  <c r="N176" i="4" s="1"/>
  <c r="L618" i="4"/>
  <c r="M618" i="4" s="1"/>
  <c r="N618" i="4" s="1"/>
  <c r="L611" i="4"/>
  <c r="M611" i="4" s="1"/>
  <c r="N611" i="4" s="1"/>
  <c r="L591" i="4"/>
  <c r="M591" i="4" s="1"/>
  <c r="N591" i="4" s="1"/>
  <c r="L551" i="4"/>
  <c r="M551" i="4" s="1"/>
  <c r="N551" i="4" s="1"/>
  <c r="L538" i="4"/>
  <c r="M538" i="4" s="1"/>
  <c r="N538" i="4" s="1"/>
  <c r="L459" i="4"/>
  <c r="M459" i="4" s="1"/>
  <c r="N459" i="4" s="1"/>
  <c r="L322" i="4"/>
  <c r="M322" i="4" s="1"/>
  <c r="N322" i="4" s="1"/>
  <c r="L175" i="4"/>
  <c r="M175" i="4" s="1"/>
  <c r="N175" i="4" s="1"/>
  <c r="L107" i="4"/>
  <c r="M107" i="4" s="1"/>
  <c r="N107" i="4" s="1"/>
  <c r="L47" i="4"/>
  <c r="M47" i="4" s="1"/>
  <c r="N47" i="4" s="1"/>
  <c r="L144" i="4"/>
  <c r="M144" i="4" s="1"/>
  <c r="N144" i="4" s="1"/>
  <c r="L558" i="4"/>
  <c r="M558" i="4" s="1"/>
  <c r="N558" i="4" s="1"/>
  <c r="L451" i="4"/>
  <c r="M451" i="4" s="1"/>
  <c r="N451" i="4" s="1"/>
  <c r="L427" i="4"/>
  <c r="M427" i="4" s="1"/>
  <c r="N427" i="4" s="1"/>
  <c r="L418" i="4"/>
  <c r="M418" i="4" s="1"/>
  <c r="N418" i="4" s="1"/>
  <c r="L122" i="4"/>
  <c r="M122" i="4" s="1"/>
  <c r="N122" i="4" s="1"/>
  <c r="L614" i="4"/>
  <c r="M614" i="4" s="1"/>
  <c r="N614" i="4" s="1"/>
  <c r="L554" i="4"/>
  <c r="M554" i="4" s="1"/>
  <c r="N554" i="4" s="1"/>
  <c r="L422" i="4"/>
  <c r="M422" i="4" s="1"/>
  <c r="N422" i="4" s="1"/>
  <c r="L536" i="4"/>
  <c r="M536" i="4" s="1"/>
  <c r="N536" i="4" s="1"/>
  <c r="L437" i="4"/>
  <c r="M437" i="4" s="1"/>
  <c r="N437" i="4" s="1"/>
  <c r="L543" i="4"/>
  <c r="M543" i="4" s="1"/>
  <c r="N543" i="4" s="1"/>
  <c r="L556" i="4"/>
  <c r="M556" i="4" s="1"/>
  <c r="N556" i="4" s="1"/>
  <c r="L421" i="4"/>
  <c r="M421" i="4" s="1"/>
  <c r="N421" i="4" s="1"/>
  <c r="L610" i="4"/>
  <c r="M610" i="4" s="1"/>
  <c r="N610" i="4" s="1"/>
  <c r="L553" i="4"/>
  <c r="M553" i="4" s="1"/>
  <c r="N553" i="4" s="1"/>
  <c r="L432" i="4"/>
  <c r="M432" i="4" s="1"/>
  <c r="N432" i="4" s="1"/>
  <c r="L417" i="4"/>
  <c r="M417" i="4" s="1"/>
  <c r="N417" i="4" s="1"/>
  <c r="L635" i="4"/>
  <c r="M635" i="4" s="1"/>
  <c r="N635" i="4" s="1"/>
  <c r="L606" i="4"/>
  <c r="M606" i="4" s="1"/>
  <c r="N606" i="4" s="1"/>
  <c r="L435" i="4"/>
  <c r="M435" i="4" s="1"/>
  <c r="N435" i="4" s="1"/>
  <c r="L419" i="4"/>
  <c r="M419" i="4" s="1"/>
  <c r="N419" i="4" s="1"/>
  <c r="L630" i="4"/>
  <c r="M630" i="4" s="1"/>
  <c r="N630" i="4" s="1"/>
  <c r="L424" i="4"/>
  <c r="M424" i="4" s="1"/>
  <c r="N424" i="4" s="1"/>
  <c r="L557" i="4"/>
  <c r="M557" i="4" s="1"/>
  <c r="N557" i="4" s="1"/>
  <c r="L622" i="4"/>
  <c r="M622" i="4" s="1"/>
  <c r="N622" i="4" s="1"/>
  <c r="L633" i="4"/>
  <c r="M633" i="4" s="1"/>
  <c r="N633" i="4" s="1"/>
  <c r="L545" i="4"/>
  <c r="M545" i="4" s="1"/>
  <c r="N545" i="4" s="1"/>
  <c r="L629" i="4"/>
  <c r="M629" i="4" s="1"/>
  <c r="N629" i="4" s="1"/>
  <c r="L548" i="4"/>
  <c r="M548" i="4" s="1"/>
  <c r="N548" i="4" s="1"/>
  <c r="L632" i="4"/>
  <c r="M632" i="4" s="1"/>
  <c r="N632" i="4" s="1"/>
  <c r="L426" i="4"/>
  <c r="M426" i="4" s="1"/>
  <c r="N426" i="4" s="1"/>
  <c r="L550" i="4"/>
  <c r="M550" i="4" s="1"/>
  <c r="N550" i="4" s="1"/>
  <c r="L423" i="4"/>
  <c r="M423" i="4" s="1"/>
  <c r="N423" i="4" s="1"/>
  <c r="L625" i="4"/>
  <c r="M625" i="4" s="1"/>
  <c r="N625" i="4" s="1"/>
  <c r="L631" i="4"/>
  <c r="M631" i="4" s="1"/>
  <c r="N631" i="4" s="1"/>
  <c r="L615" i="4"/>
  <c r="M615" i="4" s="1"/>
  <c r="N615" i="4" s="1"/>
  <c r="L413" i="4"/>
  <c r="M413" i="4" s="1"/>
  <c r="N413" i="4" s="1"/>
  <c r="L555" i="4"/>
  <c r="M555" i="4" s="1"/>
  <c r="N555" i="4" s="1"/>
  <c r="L547" i="4"/>
  <c r="M547" i="4" s="1"/>
  <c r="N547" i="4" s="1"/>
  <c r="L607" i="4"/>
  <c r="M607" i="4" s="1"/>
  <c r="N607" i="4" s="1"/>
  <c r="L636" i="4"/>
  <c r="M636" i="4" s="1"/>
  <c r="N636" i="4" s="1"/>
  <c r="L428" i="4"/>
  <c r="M428" i="4" s="1"/>
  <c r="N428" i="4" s="1"/>
  <c r="L412" i="4"/>
  <c r="M412" i="4" s="1"/>
  <c r="N412" i="4" s="1"/>
  <c r="L434" i="4"/>
  <c r="M434" i="4" s="1"/>
  <c r="N434" i="4" s="1"/>
  <c r="L541" i="4"/>
  <c r="M541" i="4" s="1"/>
  <c r="N541" i="4" s="1"/>
  <c r="L438" i="4"/>
  <c r="M438" i="4" s="1"/>
  <c r="N438" i="4" s="1"/>
  <c r="L620" i="4"/>
  <c r="M620" i="4" s="1"/>
  <c r="N620" i="4" s="1"/>
  <c r="L559" i="4"/>
  <c r="M559" i="4" s="1"/>
  <c r="N559" i="4" s="1"/>
  <c r="L613" i="4"/>
  <c r="M613" i="4" s="1"/>
  <c r="N613" i="4" s="1"/>
  <c r="L612" i="4"/>
  <c r="M612" i="4" s="1"/>
  <c r="N612" i="4" s="1"/>
  <c r="L628" i="4"/>
  <c r="M628" i="4" s="1"/>
  <c r="N628" i="4" s="1"/>
  <c r="L605" i="4"/>
  <c r="M605" i="4" s="1"/>
  <c r="N605" i="4" s="1"/>
  <c r="L542" i="4"/>
  <c r="M542" i="4" s="1"/>
  <c r="N542" i="4" s="1"/>
  <c r="L540" i="4"/>
  <c r="M540" i="4" s="1"/>
  <c r="N540" i="4" s="1"/>
  <c r="F285" i="1"/>
  <c r="G285" i="1" s="1"/>
  <c r="H285" i="1" s="1"/>
  <c r="F270" i="1"/>
  <c r="G270" i="1" s="1"/>
  <c r="H270" i="1" s="1"/>
  <c r="F239" i="1"/>
  <c r="G239" i="1" s="1"/>
  <c r="H239" i="1" s="1"/>
  <c r="F238" i="1"/>
  <c r="G238" i="1" s="1"/>
  <c r="H238" i="1" s="1"/>
  <c r="F235" i="1"/>
  <c r="G235" i="1" s="1"/>
  <c r="H235" i="1" s="1"/>
  <c r="F228" i="1"/>
  <c r="G228" i="1" s="1"/>
  <c r="H228" i="1" s="1"/>
  <c r="F226" i="1"/>
  <c r="G226" i="1" s="1"/>
  <c r="H226" i="1" s="1"/>
  <c r="F168" i="1"/>
  <c r="G168" i="1" s="1"/>
  <c r="H168" i="1" s="1"/>
  <c r="F147" i="1"/>
  <c r="G147" i="1" s="1"/>
  <c r="H147" i="1" s="1"/>
  <c r="N234" i="4" l="1"/>
  <c r="O234" i="4" s="1"/>
  <c r="N108" i="4"/>
  <c r="O108" i="4" s="1"/>
  <c r="N388" i="4"/>
  <c r="O388" i="4" s="1"/>
  <c r="N64" i="4"/>
  <c r="O64" i="4" s="1"/>
  <c r="N40" i="4"/>
  <c r="O40" i="4" s="1"/>
  <c r="O541" i="4"/>
  <c r="O419" i="4"/>
  <c r="O195" i="4"/>
  <c r="O434" i="4"/>
  <c r="O435" i="4"/>
  <c r="O582" i="4"/>
  <c r="O628" i="4"/>
  <c r="O459" i="4"/>
  <c r="O476" i="4"/>
  <c r="O501" i="4"/>
  <c r="O293" i="4"/>
  <c r="O11" i="4"/>
  <c r="O5" i="4"/>
  <c r="O255" i="4"/>
  <c r="O428" i="4"/>
  <c r="O633" i="4"/>
  <c r="O239" i="4"/>
  <c r="O63" i="4"/>
  <c r="O41" i="4"/>
  <c r="O539" i="4"/>
  <c r="O473" i="4"/>
  <c r="O530" i="4"/>
  <c r="O35" i="4"/>
  <c r="O423" i="4"/>
  <c r="O417" i="4"/>
  <c r="O536" i="4"/>
  <c r="O558" i="4"/>
  <c r="O551" i="4"/>
  <c r="O616" i="4"/>
  <c r="O562" i="4"/>
  <c r="O497" i="4"/>
  <c r="O410" i="4"/>
  <c r="O99" i="4"/>
  <c r="O460" i="4"/>
  <c r="O62" i="4"/>
  <c r="O52" i="4"/>
  <c r="O277" i="4"/>
  <c r="O446" i="4"/>
  <c r="O169" i="4"/>
  <c r="O66" i="4"/>
  <c r="O570" i="4"/>
  <c r="O449" i="4"/>
  <c r="O105" i="4"/>
  <c r="O69" i="4"/>
  <c r="O50" i="4"/>
  <c r="O140" i="4"/>
  <c r="O101" i="4"/>
  <c r="O362" i="4"/>
  <c r="O228" i="4"/>
  <c r="O574" i="4"/>
  <c r="O311" i="4"/>
  <c r="O465" i="4"/>
  <c r="O139" i="4"/>
  <c r="O478" i="4"/>
  <c r="O592" i="4"/>
  <c r="O137" i="4"/>
  <c r="O315" i="4"/>
  <c r="O542" i="4"/>
  <c r="O122" i="4"/>
  <c r="O337" i="4"/>
  <c r="O615" i="4"/>
  <c r="O332" i="4"/>
  <c r="O129" i="4"/>
  <c r="O545" i="4"/>
  <c r="O543" i="4"/>
  <c r="O95" i="4"/>
  <c r="O61" i="4"/>
  <c r="O390" i="4"/>
  <c r="O533" i="4"/>
  <c r="O81" i="4"/>
  <c r="O151" i="4"/>
  <c r="O578" i="4"/>
  <c r="O115" i="4"/>
  <c r="O625" i="4"/>
  <c r="O635" i="4"/>
  <c r="O538" i="4"/>
  <c r="O573" i="4"/>
  <c r="O10" i="4"/>
  <c r="O389" i="4"/>
  <c r="O56" i="4"/>
  <c r="O319" i="4"/>
  <c r="O111" i="4"/>
  <c r="O613" i="4"/>
  <c r="O559" i="4"/>
  <c r="O607" i="4"/>
  <c r="O550" i="4"/>
  <c r="O557" i="4"/>
  <c r="O432" i="4"/>
  <c r="O422" i="4"/>
  <c r="O144" i="4"/>
  <c r="O591" i="4"/>
  <c r="O93" i="4"/>
  <c r="O392" i="4"/>
  <c r="O462" i="4"/>
  <c r="O72" i="4"/>
  <c r="O227" i="4"/>
  <c r="O564" i="4"/>
  <c r="O133" i="4"/>
  <c r="O59" i="4"/>
  <c r="O464" i="4"/>
  <c r="O455" i="4"/>
  <c r="O269" i="4"/>
  <c r="O102" i="4"/>
  <c r="O585" i="4"/>
  <c r="O517" i="4"/>
  <c r="O477" i="4"/>
  <c r="O453" i="4"/>
  <c r="O23" i="4"/>
  <c r="O268" i="4"/>
  <c r="O24" i="4"/>
  <c r="O457" i="4"/>
  <c r="O425" i="4"/>
  <c r="O441" i="4"/>
  <c r="O391" i="4"/>
  <c r="O485" i="4"/>
  <c r="O291" i="4"/>
  <c r="O262" i="4"/>
  <c r="O379" i="4"/>
  <c r="O548" i="4"/>
  <c r="O500" i="4"/>
  <c r="O605" i="4"/>
  <c r="O629" i="4"/>
  <c r="O418" i="4"/>
  <c r="O492" i="4"/>
  <c r="O412" i="4"/>
  <c r="O606" i="4"/>
  <c r="O98" i="4"/>
  <c r="O399" i="4"/>
  <c r="O509" i="4"/>
  <c r="O78" i="4"/>
  <c r="O70" i="4"/>
  <c r="O470" i="4"/>
  <c r="O612" i="4"/>
  <c r="O437" i="4"/>
  <c r="O496" i="4"/>
  <c r="O37" i="4"/>
  <c r="O308" i="4"/>
  <c r="O77" i="4"/>
  <c r="O48" i="4"/>
  <c r="O279" i="4"/>
  <c r="O147" i="4"/>
  <c r="O636" i="4"/>
  <c r="O622" i="4"/>
  <c r="O540" i="4"/>
  <c r="O620" i="4"/>
  <c r="O547" i="4"/>
  <c r="O426" i="4"/>
  <c r="O424" i="4"/>
  <c r="O553" i="4"/>
  <c r="O554" i="4"/>
  <c r="O47" i="4"/>
  <c r="O611" i="4"/>
  <c r="O120" i="4"/>
  <c r="O4" i="4"/>
  <c r="O382" i="4"/>
  <c r="O433" i="4"/>
  <c r="O290" i="4"/>
  <c r="O567" i="4"/>
  <c r="O261" i="4"/>
  <c r="O88" i="4"/>
  <c r="O33" i="4"/>
  <c r="O469" i="4"/>
  <c r="O16" i="4"/>
  <c r="O238" i="4"/>
  <c r="O594" i="4"/>
  <c r="O532" i="4"/>
  <c r="O306" i="4"/>
  <c r="O468" i="4"/>
  <c r="O75" i="4"/>
  <c r="O39" i="4"/>
  <c r="O68" i="4"/>
  <c r="O563" i="4"/>
  <c r="O454" i="4"/>
  <c r="O583" i="4"/>
  <c r="O402" i="4"/>
  <c r="O49" i="4"/>
  <c r="O307" i="4"/>
  <c r="O7" i="4"/>
  <c r="O413" i="4"/>
  <c r="O421" i="4"/>
  <c r="O556" i="4"/>
  <c r="O84" i="4"/>
  <c r="O631" i="4"/>
  <c r="O427" i="4"/>
  <c r="O416" i="4"/>
  <c r="O26" i="4"/>
  <c r="O82" i="4"/>
  <c r="O80" i="4"/>
  <c r="O505" i="4"/>
  <c r="O128" i="4"/>
  <c r="O397" i="4"/>
  <c r="O451" i="4"/>
  <c r="O429" i="4"/>
  <c r="O384" i="4"/>
  <c r="O51" i="4"/>
  <c r="O265" i="4"/>
  <c r="O125" i="4"/>
  <c r="O141" i="4"/>
  <c r="O87" i="4"/>
  <c r="O608" i="4"/>
  <c r="O438" i="4"/>
  <c r="O555" i="4"/>
  <c r="O632" i="4"/>
  <c r="O630" i="4"/>
  <c r="O610" i="4"/>
  <c r="O614" i="4"/>
  <c r="O107" i="4"/>
  <c r="O618" i="4"/>
  <c r="O292" i="4"/>
  <c r="O184" i="4"/>
  <c r="O53" i="4"/>
  <c r="O442" i="4"/>
  <c r="O474" i="4"/>
  <c r="O130" i="4"/>
  <c r="O317" i="4"/>
  <c r="O110" i="4"/>
  <c r="O241" i="4"/>
  <c r="O511" i="4"/>
  <c r="O42" i="4"/>
  <c r="O254" i="4"/>
  <c r="O619" i="4"/>
  <c r="O552" i="4"/>
  <c r="O74" i="4"/>
  <c r="O589" i="4"/>
  <c r="O119" i="4"/>
  <c r="O138" i="4"/>
  <c r="O76" i="4"/>
  <c r="O32" i="4"/>
  <c r="O508" i="4"/>
  <c r="O444" i="4"/>
  <c r="O431" i="4"/>
  <c r="O507" i="4"/>
  <c r="O475" i="4"/>
  <c r="O146" i="4"/>
  <c r="O447" i="4"/>
  <c r="O176" i="4"/>
  <c r="O458" i="4"/>
  <c r="O565" i="4"/>
  <c r="O298" i="4"/>
  <c r="O461" i="4"/>
  <c r="O170" i="4"/>
  <c r="O393" i="4"/>
  <c r="O12" i="4"/>
  <c r="O406" i="4"/>
  <c r="O414" i="4"/>
  <c r="O627" i="4"/>
  <c r="O568" i="4"/>
  <c r="O490" i="4"/>
  <c r="O581" i="4"/>
  <c r="O263" i="4"/>
  <c r="O174" i="4"/>
  <c r="O83" i="4"/>
  <c r="O57" i="4"/>
  <c r="O576" i="4"/>
  <c r="O67" i="4"/>
  <c r="O463" i="4"/>
  <c r="O86" i="4"/>
  <c r="O510" i="4"/>
  <c r="O152" i="4"/>
  <c r="O142" i="4"/>
  <c r="O175" i="4"/>
  <c r="O322" i="4"/>
  <c r="O588" i="4"/>
  <c r="O452" i="4"/>
  <c r="O566" i="4"/>
  <c r="O318" i="4"/>
  <c r="O28" i="4"/>
  <c r="O136" i="4"/>
  <c r="O448" i="4"/>
  <c r="O430" i="4"/>
  <c r="O25" i="4"/>
  <c r="O584" i="4"/>
  <c r="O55" i="4"/>
  <c r="O593" i="4"/>
  <c r="O471" i="4"/>
  <c r="O320" i="4"/>
  <c r="O104" i="4"/>
  <c r="O85" i="4"/>
  <c r="O590" i="4"/>
  <c r="O135" i="4"/>
  <c r="O527" i="4"/>
  <c r="O303" i="4"/>
  <c r="O569" i="4"/>
  <c r="O445" i="4"/>
</calcChain>
</file>

<file path=xl/sharedStrings.xml><?xml version="1.0" encoding="utf-8"?>
<sst xmlns="http://schemas.openxmlformats.org/spreadsheetml/2006/main" count="3983" uniqueCount="715">
  <si>
    <t>No</t>
  </si>
  <si>
    <t>Instansi</t>
  </si>
  <si>
    <t>Rasio Keberhasilan</t>
  </si>
  <si>
    <t>Pemerintah Daerah Kabupaten Bireuen</t>
  </si>
  <si>
    <t>Pemerintah Daerah Kabupaten Majalengka</t>
  </si>
  <si>
    <t>Pemerintah Daerah Kabupaten Cirebon</t>
  </si>
  <si>
    <t>Pemerintah Daerah Kabupaten Garut</t>
  </si>
  <si>
    <t>Pemerintah Daerah Kabupaten Bandung</t>
  </si>
  <si>
    <t>Pemerintah Daerah Kabupaten Purwakarta</t>
  </si>
  <si>
    <t>Pemerintah Daerah Kabupaten Sumedang</t>
  </si>
  <si>
    <t>Pemerintah Daerah Kabupaten Banyumas</t>
  </si>
  <si>
    <t>Pemerintah Daerah Kabupaten Karanganyar</t>
  </si>
  <si>
    <t>Pemerintah Daerah Kabupaten Blora</t>
  </si>
  <si>
    <t>Pemerintah Daerah Kabupaten Kebumen</t>
  </si>
  <si>
    <t>Pemerintah Daerah Kabupaten Purworejo</t>
  </si>
  <si>
    <t>Pemerintah Daerah Kabupaten Jepara</t>
  </si>
  <si>
    <t>Pemerintah Daerah Kabupaten Cilacap</t>
  </si>
  <si>
    <t>Pemerintah Daerah Kabupaten Boyolali</t>
  </si>
  <si>
    <t>Pemerintah Daerah Kabupaten Sragen</t>
  </si>
  <si>
    <t>Pemerintah Daerah Kabupaten Temanggung</t>
  </si>
  <si>
    <t>Pemerintah Daerah Kabupaten Klaten</t>
  </si>
  <si>
    <t>Pemerintah Daerah Kabupaten Tegal</t>
  </si>
  <si>
    <t>Pemerintah Daerah Kabupaten Grobogan</t>
  </si>
  <si>
    <t>Pemerintah Daerah Kabupaten Kudus</t>
  </si>
  <si>
    <t>Pemerintah Daerah Kabupaten Purbalingga</t>
  </si>
  <si>
    <t>Pemerintah Daerah Kabupaten Sukoharjo</t>
  </si>
  <si>
    <t>Pemerintah Daerah Kabupaten Wonogiri</t>
  </si>
  <si>
    <t>Pemerintah Daerah Kabupaten Demak</t>
  </si>
  <si>
    <t>Pemerintah Daerah Kabupaten Pati</t>
  </si>
  <si>
    <t>Pemerintah Daerah Kabupaten Rembang</t>
  </si>
  <si>
    <t>Pemerintah Daerah Kabupaten Banyuwangi</t>
  </si>
  <si>
    <t>Pemerintah Daerah Kabupaten Sidoarjo</t>
  </si>
  <si>
    <t>Pemerintah Daerah Kabupaten Madiun</t>
  </si>
  <si>
    <t>Pemerintah Daerah Kabupaten Sumenep</t>
  </si>
  <si>
    <t>Pemerintah Daerah Kabupaten Pacitan</t>
  </si>
  <si>
    <t>Pemerintah Daerah Kabupaten Jombang</t>
  </si>
  <si>
    <t>Pemerintah Daerah Kabupaten Magetan</t>
  </si>
  <si>
    <t>Pemerintah Daerah Kabupaten Malang</t>
  </si>
  <si>
    <t>Pemerintah Daerah Kabupaten Nganjuk</t>
  </si>
  <si>
    <t>Pemerintah Daerah Kabupaten Gresik</t>
  </si>
  <si>
    <t>Pemerintah Daerah Kabupaten Blitar</t>
  </si>
  <si>
    <t>Pemerintah Daerah Kabupaten Mojokerto</t>
  </si>
  <si>
    <t>Pemerintah Daerah Kabupaten Bojonegoro</t>
  </si>
  <si>
    <t>Pemerintah Daerah Kabupaten Jember</t>
  </si>
  <si>
    <t>Pemerintah Daerah Kabupaten Lamongan</t>
  </si>
  <si>
    <t>Pemerintah Daerah Kabupaten Ngawi</t>
  </si>
  <si>
    <t>Pemerintah Daerah Kabupaten Situbondo</t>
  </si>
  <si>
    <t>Pemerintah Daerah Kabupaten Probolinggo</t>
  </si>
  <si>
    <t>Pemerintah Daerah Kabupaten Lumajang</t>
  </si>
  <si>
    <t>Pemerintah Daerah Kabupaten Pasuruan</t>
  </si>
  <si>
    <t>Pemerintah Daerah Kabupaten Sampang</t>
  </si>
  <si>
    <t>Pemerintah Daerah Kabupaten Tuban</t>
  </si>
  <si>
    <t>Pemerintah Daerah Kabupaten Bondowoso</t>
  </si>
  <si>
    <t>Pemerintah Daerah Kabupaten Trenggalek</t>
  </si>
  <si>
    <t>Pemerintah Daerah Kabupaten Pamekasan</t>
  </si>
  <si>
    <t>Pemerintah Daerah Kabupaten Tulungagung</t>
  </si>
  <si>
    <t>Pemerintah Daerah Kabupaten Bangkalan</t>
  </si>
  <si>
    <t>Pemerintah Daerah Kabupaten Ponorogo</t>
  </si>
  <si>
    <t>Pemerintah Daerah Kabupaten Sekadau</t>
  </si>
  <si>
    <t>Pemerintah Daerah Kabupaten Ketapang</t>
  </si>
  <si>
    <t>Pemerintah Daerah Kabupaten Kubu Raya</t>
  </si>
  <si>
    <t>Pemerintah Daerah Kabupaten Kayong Utara</t>
  </si>
  <si>
    <t>Pemerintah Daerah Kabupaten Sambas</t>
  </si>
  <si>
    <t>Pemerintah Daerah Kabupaten Bener Meriah</t>
  </si>
  <si>
    <t>Pemerintah Daerah Kabupaten Banjar</t>
  </si>
  <si>
    <t>Pemerintah Daerah Kabupaten Balangan</t>
  </si>
  <si>
    <t>Pemerintah Daerah Kabupaten Tanah Laut</t>
  </si>
  <si>
    <t>Pemerintah Daerah Kabupaten Tabalong</t>
  </si>
  <si>
    <t>Pemerintah Daerah Kabupaten Tapin</t>
  </si>
  <si>
    <t>Pemerintah Daerah Kabupaten Hulu Sungai Selatan</t>
  </si>
  <si>
    <t>Pemerintah Daerah Kabupaten Barito Kuala</t>
  </si>
  <si>
    <t>Pemerintah Daerah Kabupaten Kotawaringin Timur</t>
  </si>
  <si>
    <t>Pemerintah Daerah Kabupaten Kotawaringin Barat</t>
  </si>
  <si>
    <t>Pemerintah Daerah Kabupaten Lamandau</t>
  </si>
  <si>
    <t>Pemerintah Daerah Kabupaten Seruyan</t>
  </si>
  <si>
    <t>Pemerintah Daerah Kabupaten Barito Utara</t>
  </si>
  <si>
    <t>Pemerintah Daerah Kabupaten Katingan</t>
  </si>
  <si>
    <t>Pemerintah Daerah Kabupaten Sukamara</t>
  </si>
  <si>
    <t>Pemerintah Daerah Kabupaten Berau</t>
  </si>
  <si>
    <t>Pemerintah Daerah Kabupaten Kutai Kartanegara</t>
  </si>
  <si>
    <t>Pemerintah Daerah Kabupaten Paser</t>
  </si>
  <si>
    <t>Pemerintah Daerah Kabupaten Bulungan</t>
  </si>
  <si>
    <t>Pemerintah Daerah Kabupaten Karimun</t>
  </si>
  <si>
    <t>Pemerintah Daerah Kabupaten Badung</t>
  </si>
  <si>
    <t>Pemerintah Daerah Kabupaten Natuna</t>
  </si>
  <si>
    <t>Pemerintah Daerah Kabupaten Lingga</t>
  </si>
  <si>
    <t>Pemerintah Daerah Kabupaten Bintan</t>
  </si>
  <si>
    <t>Pemerintah Daerah Kabupaten Kepulauan Anambas</t>
  </si>
  <si>
    <t>Pemerintah Daerah Kabupaten Pesawaran</t>
  </si>
  <si>
    <t>Pemerintah Daerah Kabupaten Lampung Selatan</t>
  </si>
  <si>
    <t>Pemerintah Daerah Kabupaten Lampung Barat</t>
  </si>
  <si>
    <t>Pemerintah Daerah Kabupaten Way Kanan</t>
  </si>
  <si>
    <t>Pemerintah Daerah Kabupaten Lampung Tengah</t>
  </si>
  <si>
    <t>Pemerintah Daerah Kabupaten Pringsewu</t>
  </si>
  <si>
    <t>Pemerintah Daerah Kabupaten Buleleng</t>
  </si>
  <si>
    <t>Pemerintah Daerah Kabupaten Sumbawa Barat</t>
  </si>
  <si>
    <t>Pemerintah Daerah Kabupaten Lombok Barat</t>
  </si>
  <si>
    <t>Pemerintah Daerah Kabupaten Lombok Utara</t>
  </si>
  <si>
    <t>Pemerintah Daerah Kabupaten Gianyar</t>
  </si>
  <si>
    <t>Pemerintah Daerah Kabupaten Klungkung</t>
  </si>
  <si>
    <t>Pemerintah Daerah Kabupaten Tabanan</t>
  </si>
  <si>
    <t>Pemerintah Daerah Kabupaten Bangka</t>
  </si>
  <si>
    <t>Pemerintah Daerah Kabupaten Bangka Tengah</t>
  </si>
  <si>
    <t>Pemerintah Daerah Kabupaten Kuantan Singingi</t>
  </si>
  <si>
    <t>Pemerintah Daerah Kabupaten Pelalawan</t>
  </si>
  <si>
    <t>Pemerintah Daerah Kabupaten Rokan Hulu</t>
  </si>
  <si>
    <t>Pemerintah Daerah Kabupaten Pinrang</t>
  </si>
  <si>
    <t>Pemerintah Daerah Kabupaten Sinjai</t>
  </si>
  <si>
    <t>Pemerintah Daerah Kabupaten Luwu Timur</t>
  </si>
  <si>
    <t>Pemerintah Daerah Kabupaten Gowa</t>
  </si>
  <si>
    <t>Pemerintah Daerah Kabupaten Bone</t>
  </si>
  <si>
    <t>Pemerintah Daerah Kabupaten Bulukumba</t>
  </si>
  <si>
    <t>Pemerintah Daerah Kabupaten Soppeng</t>
  </si>
  <si>
    <t>Pemerintah Daerah Kabupaten Tojo Una-Una</t>
  </si>
  <si>
    <t>Pemerintah Daerah Kabupaten Banggai</t>
  </si>
  <si>
    <t>Pemerintah Daerah Kabupaten Bombana</t>
  </si>
  <si>
    <t>Pemerintah Daerah Kabupaten Kolaka Utara</t>
  </si>
  <si>
    <t>Pemerintah Daerah Kabupaten Muna</t>
  </si>
  <si>
    <t>Pemerintah Daerah Kabupaten Kolaka</t>
  </si>
  <si>
    <t>Pemerintah Daerah Kabupaten Minahasa Tenggara</t>
  </si>
  <si>
    <t>Pemerintah Daerah Kabupaten Kepulauan Sangihe</t>
  </si>
  <si>
    <t>Pemerintah Daerah Kabupaten Sijunjung</t>
  </si>
  <si>
    <t>Pemerintah Daerah Kabupaten Pesisir Selatan</t>
  </si>
  <si>
    <t>Pemerintah Daerah Kabupaten Tanah Datar</t>
  </si>
  <si>
    <t>Pemerintah Daerah Kabupaten Agam</t>
  </si>
  <si>
    <t>Pemerintah Daerah Kabupaten Padang Pariaman</t>
  </si>
  <si>
    <t>Pemerintah Daerah Kabupaten Solok</t>
  </si>
  <si>
    <t>Pemerintah Daerah Kabupaten Pasaman Barat</t>
  </si>
  <si>
    <t>Pemerintah Daerah Kabupaten Serang</t>
  </si>
  <si>
    <t>Pemerintah Daerah Kabupaten Kepulauan Mentawai</t>
  </si>
  <si>
    <t>Pemerintah Daerah Kabupaten Muara Enim</t>
  </si>
  <si>
    <t>Pemerintah Daerah Kabupaten Ogan Komering Ilir</t>
  </si>
  <si>
    <t>Pemerintah Daerah Kabupaten Tangerang</t>
  </si>
  <si>
    <t>Pemerintah Daerah Kabupaten Deli Serdang</t>
  </si>
  <si>
    <t>Pemerintah Daerah Kabupaten Mempawah</t>
  </si>
  <si>
    <t>Pemerintah Daerah Kabupaten Kepahiang</t>
  </si>
  <si>
    <t>Pemerintah Daerah Kabupaten Gunung Kidul</t>
  </si>
  <si>
    <t>Pemerintah Daerah Kabupaten Kulon Progo</t>
  </si>
  <si>
    <t>Pemerintah Daerah Kabupaten Sleman</t>
  </si>
  <si>
    <t>Pemerintah Daerah Kabupaten Bantul</t>
  </si>
  <si>
    <t>Pemerintah Daerah Kabupaten Bone Bolango</t>
  </si>
  <si>
    <t>Pemerintah Daerah Kabupaten Pohuwato</t>
  </si>
  <si>
    <t>Pemerintah Daerah Kabupaten Gorontalo</t>
  </si>
  <si>
    <t>Pemerintah Daerah Kabupaten Batanghari</t>
  </si>
  <si>
    <t>Pemerintah Daerah Kabupaten Tanjung Jabung Barat</t>
  </si>
  <si>
    <t>Pemerintah Daerah Kabupaten Tebo</t>
  </si>
  <si>
    <t>Pemerintah Daerah Kabupaten Karawang</t>
  </si>
  <si>
    <t>Kementerian Agama</t>
  </si>
  <si>
    <t>Kementerian Keuangan (Wbk Mandiri)</t>
  </si>
  <si>
    <t>Kementerian Koperasi dan Usaha Kecil dan Menengah</t>
  </si>
  <si>
    <t>Kementerian Luar Negeri</t>
  </si>
  <si>
    <t>Kementerian Pekerjaan Umum dan Perumahan Rakyat</t>
  </si>
  <si>
    <t>Kementerian Desa Pembangunan Daerah Tertinggal dan Transmigrasi RI</t>
  </si>
  <si>
    <t>Kementerian Badan Usaha Milik Negara</t>
  </si>
  <si>
    <t>Kementerian Pendidikan, Kebudayaan, Riset dan Teknologi</t>
  </si>
  <si>
    <t>Kementerian Perdagangan</t>
  </si>
  <si>
    <t>Kementerian Perencanaan Pembangunan Nasional</t>
  </si>
  <si>
    <t>Kementerian Perhubungan</t>
  </si>
  <si>
    <t>Kementerian Perindustrian</t>
  </si>
  <si>
    <t>Kementerian Pertahanan</t>
  </si>
  <si>
    <t>Kementerian Dalam Negeri</t>
  </si>
  <si>
    <t>Kementerian Sekretariat Negara</t>
  </si>
  <si>
    <t>Kementerian Sosial</t>
  </si>
  <si>
    <t>Kementerian Ketenagakerjaan</t>
  </si>
  <si>
    <t>Kementerian Pariwisata dan Ekonomi Kreatif/Badan Pariwisata dan Ekonomi Kreatif</t>
  </si>
  <si>
    <t>Kementerian Lingkungan Hidup dan Kehutanan</t>
  </si>
  <si>
    <t>Kementerian Agraria dan Tata Ruang/BPN</t>
  </si>
  <si>
    <t>Kementerian Energi Dan Sumber Daya Mineral</t>
  </si>
  <si>
    <t>Kementerian Koordinator Bidang Pembangunan Manusia dan Kebudayaan</t>
  </si>
  <si>
    <t>Kementerian Hukum Dan Hak Asasi Manusia RI (Wbk Mandiri)</t>
  </si>
  <si>
    <t>Kementerian Kelautan Dan Perikanan</t>
  </si>
  <si>
    <t>Kementerian Kesehatan</t>
  </si>
  <si>
    <t>Pemerintah Daerah Kota Bogor</t>
  </si>
  <si>
    <t>Pemerintah Daerah Kota Sukabumi</t>
  </si>
  <si>
    <t>Pemerintah Daerah Kota Cimahi</t>
  </si>
  <si>
    <t>Pemerintah Daerah Kota Cirebon</t>
  </si>
  <si>
    <t>Pemerintah Daerah Kota Tasikmalaya</t>
  </si>
  <si>
    <t>Pemerintah Daerah Kota Banjar</t>
  </si>
  <si>
    <t>Pemerintah Daerah Kota Tegal</t>
  </si>
  <si>
    <t>Pemerintah Daerah Kota Semarang</t>
  </si>
  <si>
    <t>Pemerintah Daerah Kota Pekalongan</t>
  </si>
  <si>
    <t>Pemerintah Daerah Kota Surakarta</t>
  </si>
  <si>
    <t>Pemerintah Daerah Kota Salatiga</t>
  </si>
  <si>
    <t>Pemerintah Daerah Kota Magelang</t>
  </si>
  <si>
    <t>Pemerintah Daerah Kota Batu</t>
  </si>
  <si>
    <t>Pemerintah Daerah Kota Blitar</t>
  </si>
  <si>
    <t>Pemerintah Daerah Kota Madiun</t>
  </si>
  <si>
    <t>Pemerintah Daerah Kota Malang</t>
  </si>
  <si>
    <t>Pemerintah Daerah Kota Surabaya</t>
  </si>
  <si>
    <t>Pemerintah Daerah Kota Mojokerto</t>
  </si>
  <si>
    <t>Pemerintah Daerah Kota Kediri</t>
  </si>
  <si>
    <t>Pemerintah Daerah Kota Probolinggo</t>
  </si>
  <si>
    <t>Pemerintah Daerah Kota Pasuruan</t>
  </si>
  <si>
    <t>Pemerintah Daerah Kota Banda Aceh</t>
  </si>
  <si>
    <t>Pemerintah Daerah Kota Singkawang</t>
  </si>
  <si>
    <t>Pemerintah Daerah Kota Banjarmasin</t>
  </si>
  <si>
    <t>Pemerintah Daerah Kota Banjarbaru</t>
  </si>
  <si>
    <t>Pemerintah Daerah Kota Palangka Raya</t>
  </si>
  <si>
    <t>Pemerintah Daerah Kota Tarakan</t>
  </si>
  <si>
    <t>Pemerintah Daerah Kota Balikpapan</t>
  </si>
  <si>
    <t>Pemerintah Daerah Kota Bontang</t>
  </si>
  <si>
    <t>Pemerintah Daerah Kota Batam</t>
  </si>
  <si>
    <t>Pemerintah Daerah Kota Tanjungpinang</t>
  </si>
  <si>
    <t>Pemerintah Daerah Kota Metro</t>
  </si>
  <si>
    <t>Pemerintah Daerah Kota Bandar Lampung</t>
  </si>
  <si>
    <t>Pemerintah Daerah Kota Denpasar</t>
  </si>
  <si>
    <t>Pemerintah Daerah Kota Mataram</t>
  </si>
  <si>
    <t>Pemerintah Daerah Kota Pekanbaru</t>
  </si>
  <si>
    <t>Pemerintah Daerah Kota Dumai</t>
  </si>
  <si>
    <t>Pemerintah Daerah Kota Palu</t>
  </si>
  <si>
    <t>Pemerintah Daerah Kota Kendari</t>
  </si>
  <si>
    <t>Pemerintah Daerah Kota Tangerang</t>
  </si>
  <si>
    <t>Pemerintah Daerah Kota Kotamobagu</t>
  </si>
  <si>
    <t>Pemerintah Daerah Kota Tomohon</t>
  </si>
  <si>
    <t>Pemerintah Daerah Kota Sawahlunto</t>
  </si>
  <si>
    <t>Pemerintah Daerah Kota Tangerang Selatan</t>
  </si>
  <si>
    <t>Pemerintah Daerah Kota Payakumbuh</t>
  </si>
  <si>
    <t>Pemerintah Daerah Kota Padang</t>
  </si>
  <si>
    <t>Pemerintah Daerah Kota Solok</t>
  </si>
  <si>
    <t>Pemerintah Daerah Kota Bukit Tinggi</t>
  </si>
  <si>
    <t>Pemerintah Daerah Kota Cilegon</t>
  </si>
  <si>
    <t>Pemerintah Daerah Kota Lubuklinggau</t>
  </si>
  <si>
    <t>Pemerintah Daerah Kota Tebing Tinggi</t>
  </si>
  <si>
    <t>Pemerintah Daerah Kota Yogyakarta</t>
  </si>
  <si>
    <t>Pemerintah Daerah Kota Depok</t>
  </si>
  <si>
    <t>Badan Riset dan Inovasi Nasional</t>
  </si>
  <si>
    <t>Badan Perlindungan Pekerja Migran Indonesia</t>
  </si>
  <si>
    <t>Badan Pengawas Obat Dan Makanan (Wbk Mandiri)</t>
  </si>
  <si>
    <t>Badan Pengawas Tenaga Nuklir</t>
  </si>
  <si>
    <t>Badan Pusat Statistik (Wbk Mandiri)</t>
  </si>
  <si>
    <t>Badan Standardisasi Nasional</t>
  </si>
  <si>
    <t>Sekretaris Jenderal Dewan Perwakilan Rakyat</t>
  </si>
  <si>
    <t>Komisi Pemilihan Umum</t>
  </si>
  <si>
    <t>Lembaga Administrasi Negara</t>
  </si>
  <si>
    <t>Lembaga Kebijakan Pengadaan Barang/Jasa Pemerintah</t>
  </si>
  <si>
    <t>Badan Kependudukan Dan Keluarga Berencana Nasional</t>
  </si>
  <si>
    <t>Mahkamah Agung (Wbk Mandiri)</t>
  </si>
  <si>
    <t>Mahkamah Konstitusi Ri</t>
  </si>
  <si>
    <t>Perpustakaan Nasional Republik Indonesia</t>
  </si>
  <si>
    <t>Kejaksaan Agung RI (Wbk Mandiri)</t>
  </si>
  <si>
    <t>Kepolisian Negara Republik Indonesia (Wbk Mandiri)</t>
  </si>
  <si>
    <t>Badan Koordinasi Penanaman Modal</t>
  </si>
  <si>
    <t>Lembaga Penyiaran Radio Republik Indonesia</t>
  </si>
  <si>
    <t>Badan Narkotika Nasional</t>
  </si>
  <si>
    <t>Pemerintah Daerah Provinsi Jawa Tengah</t>
  </si>
  <si>
    <t>Pemerintah Daerah Provinsi Jawa Timur</t>
  </si>
  <si>
    <t>Pemerintah Daerah Provinsi Kalimantan Barat</t>
  </si>
  <si>
    <t>Pemerintah Daerah Provinsi Kalimantan Selatan</t>
  </si>
  <si>
    <t>Pemerintah Daerah Provinsi Kalimantan Tengah</t>
  </si>
  <si>
    <t>Pemerintah Daerah Provinsi Kalimantan Timur</t>
  </si>
  <si>
    <t>Pemerintah Daerah Provinsi Bali</t>
  </si>
  <si>
    <t>Pemerintah Daerah Provinsi Kepulauan Riau</t>
  </si>
  <si>
    <t>Pemerintah Daerah Provinsi Lampung</t>
  </si>
  <si>
    <t>Pemerintah Daerah Provinsi Nusa Tenggara Barat</t>
  </si>
  <si>
    <t>Pemerintah Daerah Provinsi Kepulauan Bangka Belitung</t>
  </si>
  <si>
    <t>Pemerintah Daerah Provinsi Riau</t>
  </si>
  <si>
    <t>Pemerintah Daerah Provinsi Sulawesi Barat</t>
  </si>
  <si>
    <t>Pemerintah Daerah Provinsi Sulawesi Selatan</t>
  </si>
  <si>
    <t>Pemerintah Daerah Provinsi Sulawesi Tengah</t>
  </si>
  <si>
    <t>Pemerintah Daerah Provinsi Banten</t>
  </si>
  <si>
    <t>Pemerintah Daerah Provinsi Sulawesi Tenggara</t>
  </si>
  <si>
    <t>Pemerintah Daerah Provinsi Sulawesi Utara</t>
  </si>
  <si>
    <t>Pemerintah Daerah Provinsi Sumatera Barat</t>
  </si>
  <si>
    <t>Pemerintah Daerah Provinsi Kalimantan Utara</t>
  </si>
  <si>
    <t>Pemerintah Daerah Provinsi D. I. Yogyakarta</t>
  </si>
  <si>
    <t>Pemerintah Daerah Provinsi DKI Jakarta</t>
  </si>
  <si>
    <t>Pemerintah Daerah Provinsi Gorontalo</t>
  </si>
  <si>
    <t>Pemerintah Daerah Provinsi Jawa Barat</t>
  </si>
  <si>
    <t>Kementerian Koordinator Bidang Politik, Hukum dan Keamanan</t>
  </si>
  <si>
    <t>Kementerian Pendayagunaan Aparatur Negara dan Reformasi Birokrasi</t>
  </si>
  <si>
    <t>Komisi Yudisial</t>
  </si>
  <si>
    <t>Tentara Nasional Indonesia (Wbk Mandiri)</t>
  </si>
  <si>
    <t>Sekretaris Jenderal Majelis Permusyawaratan Rakyat</t>
  </si>
  <si>
    <t>Sekretaris Jenderal Dewan Perwakilan Daerah</t>
  </si>
  <si>
    <t>Badan Siber dan Sandi Negara</t>
  </si>
  <si>
    <t>Badan Intelijen Negara</t>
  </si>
  <si>
    <t>Badan Keamanan Laut</t>
  </si>
  <si>
    <t>Badan Kepegawaian Negara</t>
  </si>
  <si>
    <t>Arsip Nasional Republik Indonesia</t>
  </si>
  <si>
    <t>Sekretaris Jenderal Dewan Ketahanan Nasional</t>
  </si>
  <si>
    <t>Lembaga Ketahanan Nasional</t>
  </si>
  <si>
    <t>Sekretaris Jenderal Komisi Nasional Hak Asasi Manusia</t>
  </si>
  <si>
    <t>Badan Nasional Penanggulangan Terorisme</t>
  </si>
  <si>
    <t>Ombudsman Republik Indonesia</t>
  </si>
  <si>
    <t>Kementerian Koordinator Bidang Perekonomian</t>
  </si>
  <si>
    <t>Pusat Pelaporan dan Analisis Transaksi Keuangan</t>
  </si>
  <si>
    <t>Badan Pemeriksa Keuangan (Wbk Mandiri)</t>
  </si>
  <si>
    <t>Badan Pengawasan Keuangan dan Pembangunan</t>
  </si>
  <si>
    <t>Badan Meteorologi Klimatologi dan Geofisika</t>
  </si>
  <si>
    <t>Kementerian Pemberdayaan Perempuan dan Perlindungan Anak</t>
  </si>
  <si>
    <t>Badan SAR Nasional/Badan Nasional Pencarian Pertolongan</t>
  </si>
  <si>
    <t>Kementerian Koordinator Bidang Kemaritiman dan Investasi</t>
  </si>
  <si>
    <t>Tentara Nasional Indonesia</t>
  </si>
  <si>
    <t>Kejaksaan Agung RI</t>
  </si>
  <si>
    <t>Kepolisian Negara Republik Indonesia</t>
  </si>
  <si>
    <t>Mahkamah Agung</t>
  </si>
  <si>
    <t>Badan Pusat Statistik</t>
  </si>
  <si>
    <t>Badan Pengawas Obat Dan Makanan</t>
  </si>
  <si>
    <t>Badan Pemeriksa Keuangan</t>
  </si>
  <si>
    <t>Kementerian Hukum Dan Hak Asasi Manusia RI</t>
  </si>
  <si>
    <t>Kementerian Keuangan</t>
  </si>
  <si>
    <t>&gt;75%</t>
  </si>
  <si>
    <t>&gt;40%-75%</t>
  </si>
  <si>
    <t>&gt;10%-40%</t>
  </si>
  <si>
    <t>0,1%-10%</t>
  </si>
  <si>
    <t>Tidak Usul</t>
  </si>
  <si>
    <t>KL</t>
  </si>
  <si>
    <t>Pemda</t>
  </si>
  <si>
    <t>Succes Rate</t>
  </si>
  <si>
    <t>NO</t>
  </si>
  <si>
    <t>Instansi Pemerintah</t>
  </si>
  <si>
    <t>NAMA K/L/D</t>
  </si>
  <si>
    <t>Jenis IP</t>
  </si>
  <si>
    <t>Jumlah Unit Diusulkan di Surat</t>
  </si>
  <si>
    <t>Penerima</t>
  </si>
  <si>
    <t>Total Penerima / Total Pengusulan</t>
  </si>
  <si>
    <t>Nilai K/L</t>
  </si>
  <si>
    <t>Nilai Pemda</t>
  </si>
  <si>
    <t>Catatan</t>
  </si>
  <si>
    <t>Rekomendasi</t>
  </si>
  <si>
    <t>Klasifikasi KL</t>
  </si>
  <si>
    <t>Klasifikasi Pemda</t>
  </si>
  <si>
    <t>Lembaga</t>
  </si>
  <si>
    <t>Sangat Baik</t>
  </si>
  <si>
    <t>Terlampir pada LHE ZI Unit Kerja</t>
  </si>
  <si>
    <t>Nilai KL</t>
  </si>
  <si>
    <t>Jml KL</t>
  </si>
  <si>
    <t>Jml Pemda</t>
  </si>
  <si>
    <t>Badan Informasi Geospasial</t>
  </si>
  <si>
    <t>Memuaskan</t>
  </si>
  <si>
    <t>Badan Kependudukan dan Keluarga Berencana Nasional</t>
  </si>
  <si>
    <t>Baik</t>
  </si>
  <si>
    <t>Badan Nasional Penanggulangan Bencana</t>
  </si>
  <si>
    <t>Cukup</t>
  </si>
  <si>
    <t>Badan Pengawas Obat dan Makanan</t>
  </si>
  <si>
    <t>Badan Pengawas Pemilihan Umum</t>
  </si>
  <si>
    <t>Badan Pengusahaan Kawasan Perdagangan Bebas dan Pelabuhan Bebas Batam</t>
  </si>
  <si>
    <t>Badan Riset dan Inovasi Nasional - Badan Tenaga Nuklir Nasional</t>
  </si>
  <si>
    <t>Kurang</t>
  </si>
  <si>
    <t>Badan Riset dan Inovasi Nasional - Badan Pengkajian dan Penerapan Teknologi</t>
  </si>
  <si>
    <t>Badan Riset dan Inovasi Nasional - Lembaga Ilmu Pengetahuan Indonesia</t>
  </si>
  <si>
    <t>Badan Riset dan Inovasi Nasional - Lembaga Penerbangan dan Antariksa Nasional</t>
  </si>
  <si>
    <t>Kementerian</t>
  </si>
  <si>
    <t>Kementerian Energi dan Sumber Daya Mineral</t>
  </si>
  <si>
    <t>Kementerian Kelautan dan Perikanan</t>
  </si>
  <si>
    <t>Kementerian Komunikasi dan Informatika</t>
  </si>
  <si>
    <t>Kementerian Pemuda dan Olahraga</t>
  </si>
  <si>
    <t>Kementerian Pertanian</t>
  </si>
  <si>
    <t>Pemerintah Kabupaten</t>
  </si>
  <si>
    <t>Pemerintah Kota</t>
  </si>
  <si>
    <t>Pemerintah Provinsi</t>
  </si>
  <si>
    <t>Sekretariat Kabinet</t>
  </si>
  <si>
    <t>ada selisih kemenkeu</t>
  </si>
  <si>
    <t>Pemerintah Daerah Kabupaten Aceh Tengah</t>
  </si>
  <si>
    <t>Pemerintah Daerah Kabupaten Bangli</t>
  </si>
  <si>
    <t>Pemerintah Daerah Kabupaten Banyuasin</t>
  </si>
  <si>
    <t>Pemerintah Daerah Kabupaten Batang</t>
  </si>
  <si>
    <t>Pemerintah Daerah Kabupaten Belitung</t>
  </si>
  <si>
    <t>Pemerintah Daerah Kabupaten Belitung Timur</t>
  </si>
  <si>
    <t>Pemerintah Daerah Kabupaten Bogor</t>
  </si>
  <si>
    <t>Pemerintah Daerah Kabupaten Bolaang Mongondow Utara</t>
  </si>
  <si>
    <t>Pemerintah Daerah Kabupaten Bungo</t>
  </si>
  <si>
    <t>Pemerintah Daerah Kabupaten Ciamis</t>
  </si>
  <si>
    <t>Pemerintah Daerah Kabupaten Cianjur</t>
  </si>
  <si>
    <t>Pemerintah Daerah Kabupaten Empat Lawang</t>
  </si>
  <si>
    <t>Pemerintah Daerah Kabupaten Gunung Mas</t>
  </si>
  <si>
    <t>Pemerintah Daerah Kabupaten Hulu Sungai Tengah</t>
  </si>
  <si>
    <t>Pemerintah Daerah Kabupaten Jeneponto</t>
  </si>
  <si>
    <t>Pemerintah Daerah Kabupaten Kampar</t>
  </si>
  <si>
    <t>Pemerintah Daerah Kabupaten Kapuas</t>
  </si>
  <si>
    <t>Pemerintah Daerah Kabupaten Kediri</t>
  </si>
  <si>
    <t>Pemerintah Daerah Kabupaten Kendal</t>
  </si>
  <si>
    <t>Pemerintah Daerah Kabupaten Kepulauan Meranti</t>
  </si>
  <si>
    <t>Pemerintah Daerah Kabupaten Konawe Selatan</t>
  </si>
  <si>
    <t>Pemerintah Daerah Kabupaten Kutai Barat</t>
  </si>
  <si>
    <t>Pemerintah Daerah Kabupaten Lahat</t>
  </si>
  <si>
    <t>Pemerintah Daerah Kabupaten Landak</t>
  </si>
  <si>
    <t>Pemerintah Daerah Kabupaten Mamuju</t>
  </si>
  <si>
    <t>Pemerintah Daerah Kabupaten Minahasa</t>
  </si>
  <si>
    <t>Pemerintah Daerah Kabupaten Musi Banyuasin</t>
  </si>
  <si>
    <t>Pemerintah Daerah Kabupaten Musi Rawas</t>
  </si>
  <si>
    <t>Pemerintah Daerah Kabupaten Nunukan</t>
  </si>
  <si>
    <t>Pemerintah Daerah Kabupaten Pangandaran</t>
  </si>
  <si>
    <t>Pemerintah Daerah Kabupaten Pemalang</t>
  </si>
  <si>
    <t>Pemerintah Daerah Kabupaten Penajam Paser Utara</t>
  </si>
  <si>
    <t>Pemerintah Daerah Kabupaten Semarang</t>
  </si>
  <si>
    <t>Pemerintah Daerah Kabupaten Sorong</t>
  </si>
  <si>
    <t>Pemerintah Daerah Kabupaten Sukabumi</t>
  </si>
  <si>
    <t>Pemerintah Daerah Kabupaten Tana Tidung</t>
  </si>
  <si>
    <t>Pemerintah Daerah Kabupaten Tanah Bumbu</t>
  </si>
  <si>
    <t>Pemerintah Daerah Kabupaten Tanggamus</t>
  </si>
  <si>
    <t>Pemerintah Daerah Kabupaten Wajo</t>
  </si>
  <si>
    <t>Pemerintah Daerah Kabupaten Wonosobo</t>
  </si>
  <si>
    <t>Pemerintah Daerah Kota Bandung</t>
  </si>
  <si>
    <t>Pemerintah Daerah Kota Bekasi</t>
  </si>
  <si>
    <t>Pemerintah Daerah Kota Bima</t>
  </si>
  <si>
    <t>Pemerintah Daerah Kota Jambi</t>
  </si>
  <si>
    <t>Pemerintah Daerah Kota Makassar</t>
  </si>
  <si>
    <t>Pemerintah Daerah Kota Palembang</t>
  </si>
  <si>
    <t>Pemerintah Daerah Kota Parepare</t>
  </si>
  <si>
    <t>Pemerintah Daerah Kota Pontianak</t>
  </si>
  <si>
    <t>Pemerintah Daerah Kota Samarinda</t>
  </si>
  <si>
    <t>Pemerintah Daerah Provinsi Bengkulu</t>
  </si>
  <si>
    <t>Pemerintah Daerah Provinsi Jambi</t>
  </si>
  <si>
    <t>Pemerintah Daerah Provinsi Nusa Tenggara Timur</t>
  </si>
  <si>
    <t>Pemerintah Daerah Provinsi Sumatera Utara</t>
  </si>
  <si>
    <t>Kementerian Riset, Teknologi, dan Pendidikan Tinggi</t>
  </si>
  <si>
    <t>Pemerintah Daerah Kota Gunungsitoli</t>
  </si>
  <si>
    <t>Satuan Kerja Khusus Pelaksana Kegiatan Hulu Minyak dan Gas Bumi</t>
  </si>
  <si>
    <t>Pemerintah Daerah Kabupaten Bandung Barat</t>
  </si>
  <si>
    <t>Pemerintah Daerah Kabupaten Kuningan</t>
  </si>
  <si>
    <t>Pemerintah Daerah Kabupaten Nagan Raya</t>
  </si>
  <si>
    <t>Pemerintah Daerah Kabupaten Tasikmalaya</t>
  </si>
  <si>
    <t>Pemerintah Daerah Kabupaten Bekasi</t>
  </si>
  <si>
    <t>Pemerintah Daerah Kabupaten Pidie</t>
  </si>
  <si>
    <t>Pemerintah Daerah Kabupaten Subang</t>
  </si>
  <si>
    <t>Pemerintah Daerah Kabupaten Brebes</t>
  </si>
  <si>
    <t>Pemerintah Daerah Kabupaten Pidie Jaya</t>
  </si>
  <si>
    <t>Pemerintah Daerah Kabupaten Banjarnegara</t>
  </si>
  <si>
    <t>Pemerintah Daerah Kabupaten Pekalongan</t>
  </si>
  <si>
    <t>Pemerintah Daerah Kabupaten Magelang</t>
  </si>
  <si>
    <t>Pemerintah Daerah Kabupaten Simeulue</t>
  </si>
  <si>
    <t>Pemerintah Daerah Kabupaten Aceh Barat Daya</t>
  </si>
  <si>
    <t>Pemerintah Daerah Kabupaten Aceh Singkil</t>
  </si>
  <si>
    <t>Pemerintah Daerah Kabupaten Aceh Tamiang</t>
  </si>
  <si>
    <t>Pemerintah Daerah Kabupaten Gayo Lues</t>
  </si>
  <si>
    <t>Pemerintah Daerah Kabupaten Sanggau</t>
  </si>
  <si>
    <t>Pemerintah Daerah Kabupaten Bengkayang</t>
  </si>
  <si>
    <t>Pemerintah Daerah Kabupaten Kapuas Hulu</t>
  </si>
  <si>
    <t>Pemerintah Daerah Kabupaten Melawi</t>
  </si>
  <si>
    <t>Pemerintah Daerah Kabupaten Sintang</t>
  </si>
  <si>
    <t>Pemerintah Daerah Kabupaten Hulu Sungai Utara</t>
  </si>
  <si>
    <t>Pemerintah Daerah Kabupaten Aceh Selatan</t>
  </si>
  <si>
    <t>Pemerintah Daerah Kabupaten Kotabaru</t>
  </si>
  <si>
    <t>Pemerintah Daerah Kabupaten Aceh Tenggara</t>
  </si>
  <si>
    <t>Pemerintah Daerah Kabupaten Barito Selatan</t>
  </si>
  <si>
    <t>Pemerintah Daerah Kabupaten Barito Timur</t>
  </si>
  <si>
    <t>Pemerintah Daerah Kabupaten Pulang Pisau</t>
  </si>
  <si>
    <t>Pemerintah Daerah Kabupaten Aceh Timur</t>
  </si>
  <si>
    <t>Pemerintah Daerah Kabupaten Murung Raya</t>
  </si>
  <si>
    <t>Pemerintah Daerah Kabupaten Kutai Timur</t>
  </si>
  <si>
    <t>Pemerintah Daerah Kabupaten Malinau</t>
  </si>
  <si>
    <t>Pemerintah Daerah Kabupaten Lampung Timur</t>
  </si>
  <si>
    <t>Pemerintah Daerah Kabupaten Lampung Utara</t>
  </si>
  <si>
    <t>Pemerintah Daerah Kabupaten Tulang Bawang Barat</t>
  </si>
  <si>
    <t>Pemerintah Daerah Kabupaten Tulang Bawang</t>
  </si>
  <si>
    <t>Pemerintah Daerah Kabupaten Mesuji</t>
  </si>
  <si>
    <t>Pemerintah Daerah Kabupaten Jembrana</t>
  </si>
  <si>
    <t>Pemerintah Daerah Kabupaten Buru</t>
  </si>
  <si>
    <t>Pemerintah Daerah Kabupaten Maluku Tenggara</t>
  </si>
  <si>
    <t>Pemerintah Daerah Kabupaten Seram Bagian Barat</t>
  </si>
  <si>
    <t>Pemerintah Daerah Kabupaten Seram Bagian Timur</t>
  </si>
  <si>
    <t>Pemerintah Daerah Kabupaten Maluku Tengah</t>
  </si>
  <si>
    <t>Pemerintah Daerah Kabupaten Kepulauan Aru</t>
  </si>
  <si>
    <t>Pemerintah Daerah Kabupaten Buru Selatan</t>
  </si>
  <si>
    <t>Pemerintah Daerah Kabupaten Maluku Barat Daya</t>
  </si>
  <si>
    <t>Pemerintah Daerah Kabupaten Halmahera Utara</t>
  </si>
  <si>
    <t>Pemerintah Daerah Kabupaten Halmahera Tengah</t>
  </si>
  <si>
    <t>Pemerintah Daerah Kabupaten Halmahera Selatan</t>
  </si>
  <si>
    <t>Pemerintah Daerah Kabupaten Halmahera Barat</t>
  </si>
  <si>
    <t>Pemerintah Daerah Kabupaten Halmahera Timur</t>
  </si>
  <si>
    <t>Pemerintah Daerah Kabupaten Kepulauan Sula</t>
  </si>
  <si>
    <t>Pemerintah Daerah Kabupaten Sumbawa</t>
  </si>
  <si>
    <t>Pemerintah Daerah Kabupaten Lombok Tengah</t>
  </si>
  <si>
    <t>Pemerintah Daerah Kabupaten Lombok Timur</t>
  </si>
  <si>
    <t>Pemerintah Daerah Kabupaten Bima</t>
  </si>
  <si>
    <t>Pemerintah Daerah Kabupaten Ende</t>
  </si>
  <si>
    <t>Pemerintah Daerah Kabupaten Sumba Barat</t>
  </si>
  <si>
    <t>Pemerintah Daerah Kabupaten Sumba Barat Daya</t>
  </si>
  <si>
    <t>Pemerintah Daerah Kabupaten Belu</t>
  </si>
  <si>
    <t>Pemerintah Daerah Kabupaten Timor Tengah Utara</t>
  </si>
  <si>
    <t>Pemerintah Daerah Kabupaten Manggarai</t>
  </si>
  <si>
    <t>Pemerintah Daerah Kabupaten Alor</t>
  </si>
  <si>
    <t>Pemerintah Daerah Kabupaten Manggarai Barat</t>
  </si>
  <si>
    <t>Pemerintah Daerah Kabupaten Kupang</t>
  </si>
  <si>
    <t>Pemerintah Daerah Kabupaten Rote Ndao</t>
  </si>
  <si>
    <t>Pemerintah Daerah Kabupaten Timor Tengah Selatan</t>
  </si>
  <si>
    <t>Pemerintah Daerah Kabupaten Ngada</t>
  </si>
  <si>
    <t>Pemerintah Daerah Kabupaten Nagekeo</t>
  </si>
  <si>
    <t>Pemerintah Daerah Kabupaten Manggarai Timur</t>
  </si>
  <si>
    <t>Pemerintah Daerah Kabupaten Sikka</t>
  </si>
  <si>
    <t>Pemerintah Daerah Kabupaten Sumba Tengah</t>
  </si>
  <si>
    <t>Pemerintah Daerah Kabupaten Sumba Timur</t>
  </si>
  <si>
    <t>Pemerintah Daerah Kabupaten Flores Timur</t>
  </si>
  <si>
    <t>Pemerintah Daerah Kabupaten Lembata</t>
  </si>
  <si>
    <t>Pemerintah Daerah Kabupaten Sabu Raijua</t>
  </si>
  <si>
    <t>Pemerintah Daerah Kabupaten Merauke</t>
  </si>
  <si>
    <t>Pemerintah Daerah Kabupaten Asmat</t>
  </si>
  <si>
    <t>Pemerintah Daerah Kabupaten Jayapura</t>
  </si>
  <si>
    <t>Pemerintah Daerah Kabupaten Keerom</t>
  </si>
  <si>
    <t>Pemerintah Daerah Kabupaten Mappi</t>
  </si>
  <si>
    <t>Pemerintah Daerah Kabupaten Karangasem</t>
  </si>
  <si>
    <t>Pemerintah Daerah Kabupaten Mimika</t>
  </si>
  <si>
    <t>Pemerintah Daerah Kabupaten Nabire</t>
  </si>
  <si>
    <t>Pemerintah Daerah Kabupaten Puncak Jaya</t>
  </si>
  <si>
    <t>Pemerintah Daerah Kabupaten Biak Numfor</t>
  </si>
  <si>
    <t>Pemerintah Daerah Kabupaten Boven Digoel</t>
  </si>
  <si>
    <t>Pemerintah Daerah Kabupaten Jayawijaya</t>
  </si>
  <si>
    <t>Pemerintah Daerah Kabupaten Kepulauan Yapen</t>
  </si>
  <si>
    <t>Pemerintah Daerah Kabupaten Lanny Jaya</t>
  </si>
  <si>
    <t>Pemerintah Daerah Kabupaten Mamberamo Tengah</t>
  </si>
  <si>
    <t>Pemerintah Daerah Kabupaten Pegunungan Bintang</t>
  </si>
  <si>
    <t>Pemerintah Daerah Kabupaten Puncak</t>
  </si>
  <si>
    <t>Pemerintah Daerah Kabupaten Sarmi</t>
  </si>
  <si>
    <t>Pemerintah Daerah Kabupaten Supiori</t>
  </si>
  <si>
    <t>Pemerintah Daerah Kabupaten Tolikara</t>
  </si>
  <si>
    <t>Pemerintah Daerah Kabupaten Yahukimo</t>
  </si>
  <si>
    <t>Pemerintah Daerah Kabupaten Yalimo</t>
  </si>
  <si>
    <t>Pemerintah Daerah Kabupaten Manokwari</t>
  </si>
  <si>
    <t>Pemerintah Daerah Kabupaten Fak-Fak</t>
  </si>
  <si>
    <t>Pemerintah Daerah Kabupaten Kaimana</t>
  </si>
  <si>
    <t>Pemerintah Daerah Kabupaten Raja Ampat</t>
  </si>
  <si>
    <t>Pemerintah Daerah Kabupaten Sorong Selatan</t>
  </si>
  <si>
    <t>Pemerintah Daerah Kabupaten Teluk Bintuni</t>
  </si>
  <si>
    <t>Pemerintah Daerah Kabupaten Tambrauw</t>
  </si>
  <si>
    <t>Pemerintah Daerah Kabupaten Maybrat</t>
  </si>
  <si>
    <t>Pemerintah Daerah Kabupaten Teluk Wondama</t>
  </si>
  <si>
    <t>Pemerintah Daerah Kabupaten Indragiri Hilir</t>
  </si>
  <si>
    <t>Pemerintah Daerah Kabupaten Bengkalis</t>
  </si>
  <si>
    <t>Pemerintah Daerah Kabupaten Siak</t>
  </si>
  <si>
    <t>Pemerintah Daerah Kabupaten Rokan Hilir</t>
  </si>
  <si>
    <t>Pemerintah Daerah Kabupaten Indragiri Hulu</t>
  </si>
  <si>
    <t>Pemerintah Daerah Kabupaten Bangka Selatan</t>
  </si>
  <si>
    <t>Pemerintah Daerah Kabupaten Polewali Mandar</t>
  </si>
  <si>
    <t>Pemerintah Daerah Kabupaten Majene</t>
  </si>
  <si>
    <t>Pemerintah Daerah Kabupaten Pasangkayu</t>
  </si>
  <si>
    <t>Pemerintah Daerah Kabupaten Mamasa</t>
  </si>
  <si>
    <t>Pemerintah Daerah Kabupaten Luwu Utara</t>
  </si>
  <si>
    <t>Pemerintah Daerah Kabupaten Maros</t>
  </si>
  <si>
    <t>Pemerintah Daerah Kabupaten Enrekang</t>
  </si>
  <si>
    <t>Pemerintah Daerah Kabupaten Aceh Utara</t>
  </si>
  <si>
    <t>Pemerintah Daerah Kabupaten Bantaeng</t>
  </si>
  <si>
    <t>Pemerintah Daerah Kabupaten Pangkajene &amp; Kepulauan</t>
  </si>
  <si>
    <t>Pemerintah Daerah Kabupaten Sidenreng Rappang</t>
  </si>
  <si>
    <t>Pemerintah Daerah Kabupaten Luwu</t>
  </si>
  <si>
    <t>Pemerintah Daerah Kabupaten Kepulauan Selayar</t>
  </si>
  <si>
    <t>Pemerintah Daerah Kabupaten Takalar</t>
  </si>
  <si>
    <t>Pemerintah Daerah Kabupaten Toraja Utara</t>
  </si>
  <si>
    <t>Pemerintah Daerah Kabupaten Barru</t>
  </si>
  <si>
    <t>Pemerintah Daerah Kabupaten Tana Toraja</t>
  </si>
  <si>
    <t>Pemerintah Daerah Kabupaten Bangka Barat</t>
  </si>
  <si>
    <t>Pemerintah Daerah Kabupaten Donggala</t>
  </si>
  <si>
    <t>Pemerintah Daerah Kabupaten Parigi Moutong</t>
  </si>
  <si>
    <t>Pemerintah Daerah Kabupaten Morowali</t>
  </si>
  <si>
    <t>Pemerintah Daerah Kabupaten Poso</t>
  </si>
  <si>
    <t>Pemerintah Daerah Kabupaten Buol</t>
  </si>
  <si>
    <t>Pemerintah Daerah Kabupaten Toli-Toli</t>
  </si>
  <si>
    <t>Pemerintah Daerah Kabupaten Sigi</t>
  </si>
  <si>
    <t>Pemerintah Daerah Kabupaten Banggai Kepulauan</t>
  </si>
  <si>
    <t>Pemerintah Daerah Kabupaten Buton</t>
  </si>
  <si>
    <t>Pemerintah Daerah Kabupaten Buton Utara</t>
  </si>
  <si>
    <t>Pemerintah Daerah Kabupaten Konawe Utara</t>
  </si>
  <si>
    <t>Pemerintah Daerah Kabupaten Wakatobi</t>
  </si>
  <si>
    <t>Pemerintah Daerah Kabupaten Konawe</t>
  </si>
  <si>
    <t>Pemerintah Daerah Kabupaten Kepulauan Siau Tagulandang Biaro</t>
  </si>
  <si>
    <t>Pemerintah Daerah Kabupaten Minahasa Utara</t>
  </si>
  <si>
    <t>Pemerintah Daerah Kabupaten Lebak</t>
  </si>
  <si>
    <t>Pemerintah Daerah Kabupaten Bolaang Mongondow</t>
  </si>
  <si>
    <t>Pemerintah Daerah Kabupaten Bolaang Mongondow Timur</t>
  </si>
  <si>
    <t>Pemerintah Daerah Kabupaten Kepulauan Talaud</t>
  </si>
  <si>
    <t>Pemerintah Daerah Kabupaten Minahasa Selatan</t>
  </si>
  <si>
    <t>Pemerintah Daerah Kabupaten Dharmasraya</t>
  </si>
  <si>
    <t>Pemerintah Daerah Kabupaten Pasaman</t>
  </si>
  <si>
    <t>Pemerintah Daerah Kabupaten Lima Puluh Kota</t>
  </si>
  <si>
    <t>Pemerintah Daerah Kabupaten Solok Selatan</t>
  </si>
  <si>
    <t>Pemerintah Daerah Kabupaten Ogan Komering Ulu Selatan</t>
  </si>
  <si>
    <t>Pemerintah Daerah Kabupaten Ogan Komering Ulu Timur</t>
  </si>
  <si>
    <t>Pemerintah Daerah Kabupaten Ogan Komering Ulu</t>
  </si>
  <si>
    <t>Pemerintah Daerah Kabupaten Ogan Ilir</t>
  </si>
  <si>
    <t>Pemerintah Daerah Kabupaten Labuhanbatu</t>
  </si>
  <si>
    <t>Pemerintah Daerah Kabupaten Aceh Barat</t>
  </si>
  <si>
    <t>Pemerintah Daerah Kabupaten Tapanuli Utara</t>
  </si>
  <si>
    <t>Pemerintah Daerah Kabupaten Asahan</t>
  </si>
  <si>
    <t>Pemerintah Daerah Kabupaten Batu Bara</t>
  </si>
  <si>
    <t>Pemerintah Daerah Kabupaten Dairi</t>
  </si>
  <si>
    <t>Pemerintah Daerah Kabupaten Humbang Hasundutan</t>
  </si>
  <si>
    <t>Pemerintah Daerah Kabupaten Labuhan Batu Selatan</t>
  </si>
  <si>
    <t>Pemerintah Daerah Kabupaten Mandailing Natal</t>
  </si>
  <si>
    <t>Pemerintah Daerah Kabupaten Pandeglang</t>
  </si>
  <si>
    <t>Pemerintah Daerah Kabupaten Nias Selatan</t>
  </si>
  <si>
    <t>Pemerintah Daerah Kabupaten Padang Lawas</t>
  </si>
  <si>
    <t>Pemerintah Daerah Kabupaten Pakpak Bharat</t>
  </si>
  <si>
    <t>Pemerintah Daerah Kabupaten Samosir</t>
  </si>
  <si>
    <t>Pemerintah Daerah Kabupaten Serdang Bedagai</t>
  </si>
  <si>
    <t>Pemerintah Daerah Kabupaten Langkat</t>
  </si>
  <si>
    <t>Pemerintah Daerah Kabupaten Toba</t>
  </si>
  <si>
    <t>Pemerintah Daerah Kabupaten Karo</t>
  </si>
  <si>
    <t>Pemerintah Daerah Kabupaten Simalungun</t>
  </si>
  <si>
    <t>Pemerintah Daerah Kabupaten Nias Barat</t>
  </si>
  <si>
    <t>Pemerintah Daerah Kabupaten Tapanuli Tengah</t>
  </si>
  <si>
    <t>Pemerintah Daerah Kabupaten Labuhan Batu Utara</t>
  </si>
  <si>
    <t>Pemerintah Daerah Kabupaten Nias</t>
  </si>
  <si>
    <t>Pemerintah Daerah Kabupaten Nias Utara</t>
  </si>
  <si>
    <t>Pemerintah Daerah Kabupaten Tapanuli Selatan</t>
  </si>
  <si>
    <t>Pemerintah Daerah Kabupaten Bengkulu Utara</t>
  </si>
  <si>
    <t>Pemerintah Daerah Kabupaten Padang Lawas Utara</t>
  </si>
  <si>
    <t>Pemerintah Daerah Kabupaten Bolaang Mongondow Selatan</t>
  </si>
  <si>
    <t>Pemerintah Daerah Kabupaten Mahakam Ulu</t>
  </si>
  <si>
    <t>Pemerintah Daerah Kabupaten Malaka</t>
  </si>
  <si>
    <t>Pemerintah Daerah Kabupaten Kolaka Timur</t>
  </si>
  <si>
    <t>Pemerintah Daerah Kabupaten Konawe Kepulauan</t>
  </si>
  <si>
    <t>Pemerintah Daerah Kabupaten Pesisir Barat</t>
  </si>
  <si>
    <t>Pemerintah Daerah Kabupaten Lebong</t>
  </si>
  <si>
    <t>Pemerintah Daerah Kabupaten Musi Rawas Utara</t>
  </si>
  <si>
    <t>Pemerintah Daerah Kabupaten Morowali Utara</t>
  </si>
  <si>
    <t>Pemerintah Daerah Kabupaten Pulau Morotai</t>
  </si>
  <si>
    <t>Pemerintah Daerah Kabupaten Muna Barat</t>
  </si>
  <si>
    <t>Pemerintah Daerah Kabupaten Manokwari Selatan</t>
  </si>
  <si>
    <t>Pemerintah Daerah Kabupaten Pegunungan Arfak</t>
  </si>
  <si>
    <t>Pemerintah Daerah Kabupaten Taliabu</t>
  </si>
  <si>
    <t>Pemerintah Daerah Kabupaten Mamuju Tengah</t>
  </si>
  <si>
    <t>Pemerintah Daerah Kabupaten Buton Tengah</t>
  </si>
  <si>
    <t>Pemerintah Daerah Kabupaten Buton Selatan</t>
  </si>
  <si>
    <t>Pemerintah Daerah Kabupaten Nduga</t>
  </si>
  <si>
    <t>Pemerintah Daerah Kabupaten Banggai Laut</t>
  </si>
  <si>
    <t>Pemerintah Daerah Kabupaten Bengkulu Selatan</t>
  </si>
  <si>
    <t>Pemerintah Daerah Kabupaten Muko-Muko</t>
  </si>
  <si>
    <t>Pemerintah Daerah Kabupaten Rejang Lebong</t>
  </si>
  <si>
    <t>Pemerintah Daerah Kabupaten Bengkulu Tengah</t>
  </si>
  <si>
    <t>Pemerintah Daerah Kabupaten Kaur</t>
  </si>
  <si>
    <t>Pemerintah Daerah Kabupaten Seluma</t>
  </si>
  <si>
    <t>Pemerintah Daerah Kabupaten Boalemo</t>
  </si>
  <si>
    <t>Pemerintah Daerah Kabupaten Aceh Besar</t>
  </si>
  <si>
    <t>Pemerintah Daerah Kabupaten Gorontalo Utara</t>
  </si>
  <si>
    <t>Pemerintah Daerah Kabupaten Sarolangun</t>
  </si>
  <si>
    <t>Pemerintah Daerah Kabupaten Kerinci</t>
  </si>
  <si>
    <t>Pemerintah Daerah Kabupaten Muaro Jambi</t>
  </si>
  <si>
    <t>Pemerintah Daerah Kabupaten Aceh Jaya</t>
  </si>
  <si>
    <t>Pemerintah Daerah Kabupaten Merangin</t>
  </si>
  <si>
    <t>Pemerintah Daerah Kabupaten Penukal Abab Lematang Ilir</t>
  </si>
  <si>
    <t>Pemerintah Daerah Kabupaten Tanjung Jabung Timur</t>
  </si>
  <si>
    <t>Pemerintah Daerah Kabupaten Indramayu</t>
  </si>
  <si>
    <t>Pemerintah Daerah Kabupaten Dompu</t>
  </si>
  <si>
    <t>Kementerian Komunikasi Dan Informatika</t>
  </si>
  <si>
    <t>Kementerian Koordinator Bidang Kesejahteraan Rakyat</t>
  </si>
  <si>
    <t>Pemerintah Daerah Kota Langsa</t>
  </si>
  <si>
    <t>Pemerintah Daerah Kota Subulussalam</t>
  </si>
  <si>
    <t>Pemerintah Daerah Kota Ambon</t>
  </si>
  <si>
    <t>Pemerintah Daerah Kota Tual</t>
  </si>
  <si>
    <t>Pemerintah Daerah Kota Ternate</t>
  </si>
  <si>
    <t>Pemerintah Daerah Kota Lhokseumawe</t>
  </si>
  <si>
    <t>Pemerintah Daerah Kota Tidore Kepulauan</t>
  </si>
  <si>
    <t>Pemerintah Daerah Kota Kupang</t>
  </si>
  <si>
    <t>Pemerintah Daerah Kota Jayapura</t>
  </si>
  <si>
    <t>Pemerintah Daerah Kota Sorong</t>
  </si>
  <si>
    <t>Pemerintah Daerah Kota Pangkal Pinang</t>
  </si>
  <si>
    <t>Pemerintah Daerah Kota Palopo</t>
  </si>
  <si>
    <t>Pemerintah Daerah Kota Bau-Bau</t>
  </si>
  <si>
    <t>Pemerintah Daerah Kota Manado</t>
  </si>
  <si>
    <t>Pemerintah Daerah Kota Serang</t>
  </si>
  <si>
    <t>Pemerintah Daerah Kota Bitung</t>
  </si>
  <si>
    <t>Pemerintah Daerah Kota Padang Panjang</t>
  </si>
  <si>
    <t>Pemerintah Daerah Kota Pariaman</t>
  </si>
  <si>
    <t>Pemerintah Daerah Kota Pagar Alam</t>
  </si>
  <si>
    <t>Pemerintah Daerah Kota Prabumulih</t>
  </si>
  <si>
    <t>Pemerintah Daerah Kota Tanjung Balai</t>
  </si>
  <si>
    <t>Pemerintah Daerah Kota Medan</t>
  </si>
  <si>
    <t>Pemerintah Daerah Kota Padangsidimpuan</t>
  </si>
  <si>
    <t>Pemerintah Daerah Kota Pematangsiantar</t>
  </si>
  <si>
    <t>Pemerintah Daerah Kota Binjai</t>
  </si>
  <si>
    <t>Pemerintah Daerah Kota Sibolga</t>
  </si>
  <si>
    <t>Pemerintah Daerah Kota Bengkulu</t>
  </si>
  <si>
    <t>Pemerintah Daerah Kota Sabang</t>
  </si>
  <si>
    <t>Pemerintah Daerah Kota Gorontalo</t>
  </si>
  <si>
    <t>Pemerintah Daerah Kota Sungai Penuh</t>
  </si>
  <si>
    <t>Komite Olah Raga Nasional Indonesia</t>
  </si>
  <si>
    <t>Badan Pengusahaan Kawasan Perdagangan Bebas Dan Pelabuhan Bebas Batam (984423)</t>
  </si>
  <si>
    <t>Badan Pengusahaan Kawasan Perdagangan Bebas Dan Pelabuhan Bebas Batam</t>
  </si>
  <si>
    <t>Lembaga Perlindungan Saksi dan Korban Republik Indonesia</t>
  </si>
  <si>
    <t>Badan Pangan Nasional</t>
  </si>
  <si>
    <t>Komisi Pemberantasan Korupsi</t>
  </si>
  <si>
    <t>Lembaga Ilmu Pengetahuan Indonesia</t>
  </si>
  <si>
    <t>Pemerintah Daerah Provinsi Aceh</t>
  </si>
  <si>
    <t>Pemerintah Daerah Provinsi Maluku</t>
  </si>
  <si>
    <t>Pemerintah Daerah Provinsi Maluku Utara</t>
  </si>
  <si>
    <t>Pemerintah Daerah Provinsi Papua</t>
  </si>
  <si>
    <t>Pemerintah Daerah Provinsi Papua Barat</t>
  </si>
  <si>
    <t>Pemerintah Daerah Provinsi Sumatera Selatan</t>
  </si>
  <si>
    <t>Institut Teknologi Sepuluh Nopember</t>
  </si>
  <si>
    <t>Universitas Sumatera Utara</t>
  </si>
  <si>
    <t>Universitas Hasanuddin</t>
  </si>
  <si>
    <t>Universitas Sebelas Maret</t>
  </si>
  <si>
    <t>Universitas Gadjah Mada</t>
  </si>
  <si>
    <t>Universitas Airlangga</t>
  </si>
  <si>
    <t>Universitas Diponegoro</t>
  </si>
  <si>
    <t>Universitas Indonesia</t>
  </si>
  <si>
    <t>Universitas Andalas</t>
  </si>
  <si>
    <t>Fasilitas Kesehatan Swasta Provider Jaminan Kesehatan Nasional</t>
  </si>
  <si>
    <t>Badan Pembinaan Ideologi Pancasila</t>
  </si>
  <si>
    <t>Badan Nasional Pengelola Perbatasan</t>
  </si>
  <si>
    <t>Lembaga Penyiaran Publik Televisi Republik Indonesia</t>
  </si>
  <si>
    <t>Komisi Aparatur Sipil Negara</t>
  </si>
  <si>
    <t>Pemerintah Daerah Kabupaten Deiyai</t>
  </si>
  <si>
    <t>Pemerintah Daerah Kabupaten Dogiyai</t>
  </si>
  <si>
    <t>Pemerintah Daerah Kabupaten Intan Jaya</t>
  </si>
  <si>
    <t>Pemerintah Daerah Kabupaten Mamberamo Raya</t>
  </si>
  <si>
    <t>Pemerintah Daerah Kabupaten Paniai</t>
  </si>
  <si>
    <t>Pemerintah Daerah Kabupaten Waropen</t>
  </si>
  <si>
    <t>majalengka1</t>
  </si>
  <si>
    <t>Bintan</t>
  </si>
  <si>
    <t>DM Pemda</t>
  </si>
  <si>
    <t>Provinsi Papua Pegunungan</t>
  </si>
  <si>
    <t>Provinsi Papua Tengah</t>
  </si>
  <si>
    <t>Provinsi Papua Selatan</t>
  </si>
  <si>
    <t>Provinsi Papua Barat Daya</t>
  </si>
  <si>
    <t>Pemerintah Daerah Kabupaten Kepulauan Tanimbar</t>
  </si>
  <si>
    <t>Usulan</t>
  </si>
  <si>
    <t>Predikat</t>
  </si>
  <si>
    <t>INSTANSI PEMERINTAH</t>
  </si>
  <si>
    <t>JENIS</t>
  </si>
  <si>
    <t>SUCCESS RATE</t>
  </si>
  <si>
    <t>Rasio</t>
  </si>
  <si>
    <t>NILAI</t>
  </si>
  <si>
    <t>CATATAN</t>
  </si>
  <si>
    <t>REKOMENDASI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</si>
</sst>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mbria"/>
      <family val="1"/>
    </font>
    <font>
      <b/>
      <sz val="1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9" fontId="3" fillId="0" borderId="0" xfId="0" applyNumberFormat="1" applyFont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0" fontId="3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vertical="top"/>
    </xf>
    <xf numFmtId="0" fontId="3" fillId="9" borderId="1" xfId="0" applyFont="1" applyFill="1" applyBorder="1" applyAlignment="1">
      <alignment horizontal="center" vertical="top"/>
    </xf>
    <xf numFmtId="10" fontId="3" fillId="0" borderId="0" xfId="2" applyNumberFormat="1" applyFont="1" applyBorder="1" applyAlignment="1">
      <alignment vertical="top"/>
    </xf>
    <xf numFmtId="0" fontId="5" fillId="0" borderId="0" xfId="0" applyFont="1"/>
    <xf numFmtId="0" fontId="6" fillId="0" borderId="0" xfId="0" applyFont="1"/>
    <xf numFmtId="1" fontId="5" fillId="0" borderId="0" xfId="0" applyNumberFormat="1" applyFont="1"/>
    <xf numFmtId="10" fontId="5" fillId="0" borderId="0" xfId="2" applyNumberFormat="1" applyFont="1"/>
    <xf numFmtId="0" fontId="6" fillId="10" borderId="1" xfId="0" applyFont="1" applyFill="1" applyBorder="1" applyAlignment="1">
      <alignment horizontal="center"/>
    </xf>
    <xf numFmtId="0" fontId="5" fillId="0" borderId="1" xfId="0" applyFont="1" applyBorder="1"/>
    <xf numFmtId="41" fontId="5" fillId="0" borderId="1" xfId="1" applyFont="1" applyBorder="1"/>
    <xf numFmtId="41" fontId="5" fillId="0" borderId="1" xfId="0" applyNumberFormat="1" applyFont="1" applyBorder="1"/>
    <xf numFmtId="10" fontId="5" fillId="0" borderId="1" xfId="2" applyNumberFormat="1" applyFont="1" applyBorder="1"/>
    <xf numFmtId="164" fontId="5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I290"/>
  <sheetViews>
    <sheetView workbookViewId="0">
      <selection activeCell="D270" sqref="D270"/>
    </sheetView>
  </sheetViews>
  <sheetFormatPr defaultRowHeight="14.5" x14ac:dyDescent="0.35"/>
  <cols>
    <col min="1" max="1" width="6" customWidth="1"/>
    <col min="2" max="2" width="71.453125" bestFit="1" customWidth="1"/>
    <col min="3" max="3" width="24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s="2">
        <v>1</v>
      </c>
      <c r="B2" t="s">
        <v>3</v>
      </c>
      <c r="C2" s="3">
        <v>0</v>
      </c>
    </row>
    <row r="3" spans="1:3" hidden="1" x14ac:dyDescent="0.35">
      <c r="A3" s="2">
        <v>2</v>
      </c>
      <c r="B3" t="s">
        <v>4</v>
      </c>
      <c r="C3" s="3">
        <v>0</v>
      </c>
    </row>
    <row r="4" spans="1:3" hidden="1" x14ac:dyDescent="0.35">
      <c r="A4" s="2">
        <v>3</v>
      </c>
      <c r="B4" t="s">
        <v>5</v>
      </c>
      <c r="C4" s="3">
        <v>0</v>
      </c>
    </row>
    <row r="5" spans="1:3" hidden="1" x14ac:dyDescent="0.35">
      <c r="A5" s="2">
        <v>4</v>
      </c>
      <c r="B5" t="s">
        <v>6</v>
      </c>
      <c r="C5" s="3">
        <v>0.2</v>
      </c>
    </row>
    <row r="6" spans="1:3" hidden="1" x14ac:dyDescent="0.35">
      <c r="A6" s="2">
        <v>5</v>
      </c>
      <c r="B6" t="s">
        <v>7</v>
      </c>
      <c r="C6" s="3">
        <v>0</v>
      </c>
    </row>
    <row r="7" spans="1:3" hidden="1" x14ac:dyDescent="0.35">
      <c r="A7" s="2">
        <v>6</v>
      </c>
      <c r="B7" t="s">
        <v>8</v>
      </c>
      <c r="C7" s="3">
        <v>0.33300000000000002</v>
      </c>
    </row>
    <row r="8" spans="1:3" hidden="1" x14ac:dyDescent="0.35">
      <c r="A8" s="2">
        <v>7</v>
      </c>
      <c r="B8" t="s">
        <v>9</v>
      </c>
      <c r="C8" s="3">
        <v>0</v>
      </c>
    </row>
    <row r="9" spans="1:3" hidden="1" x14ac:dyDescent="0.35">
      <c r="A9" s="2">
        <v>8</v>
      </c>
      <c r="B9" t="s">
        <v>10</v>
      </c>
      <c r="C9" s="3">
        <v>0</v>
      </c>
    </row>
    <row r="10" spans="1:3" hidden="1" x14ac:dyDescent="0.35">
      <c r="A10" s="2">
        <v>9</v>
      </c>
      <c r="B10" t="s">
        <v>11</v>
      </c>
      <c r="C10" s="3">
        <v>0</v>
      </c>
    </row>
    <row r="11" spans="1:3" hidden="1" x14ac:dyDescent="0.35">
      <c r="A11" s="2">
        <v>10</v>
      </c>
      <c r="B11" t="s">
        <v>12</v>
      </c>
      <c r="C11" s="3">
        <v>0</v>
      </c>
    </row>
    <row r="12" spans="1:3" hidden="1" x14ac:dyDescent="0.35">
      <c r="A12" s="2">
        <v>11</v>
      </c>
      <c r="B12" t="s">
        <v>13</v>
      </c>
      <c r="C12" s="3">
        <v>0.16700000000000001</v>
      </c>
    </row>
    <row r="13" spans="1:3" hidden="1" x14ac:dyDescent="0.35">
      <c r="A13" s="2">
        <v>12</v>
      </c>
      <c r="B13" t="s">
        <v>14</v>
      </c>
      <c r="C13" s="3">
        <v>0</v>
      </c>
    </row>
    <row r="14" spans="1:3" hidden="1" x14ac:dyDescent="0.35">
      <c r="A14" s="2">
        <v>13</v>
      </c>
      <c r="B14" t="s">
        <v>15</v>
      </c>
      <c r="C14" s="3">
        <v>0</v>
      </c>
    </row>
    <row r="15" spans="1:3" hidden="1" x14ac:dyDescent="0.35">
      <c r="A15" s="2">
        <v>14</v>
      </c>
      <c r="B15" t="s">
        <v>16</v>
      </c>
      <c r="C15" s="3">
        <v>0.28599999999999998</v>
      </c>
    </row>
    <row r="16" spans="1:3" hidden="1" x14ac:dyDescent="0.35">
      <c r="A16" s="2">
        <v>15</v>
      </c>
      <c r="B16" t="s">
        <v>17</v>
      </c>
      <c r="C16" s="3">
        <v>7.6999999999999999E-2</v>
      </c>
    </row>
    <row r="17" spans="1:3" hidden="1" x14ac:dyDescent="0.35">
      <c r="A17" s="2">
        <v>16</v>
      </c>
      <c r="B17" t="s">
        <v>18</v>
      </c>
      <c r="C17" s="3">
        <v>0.25</v>
      </c>
    </row>
    <row r="18" spans="1:3" hidden="1" x14ac:dyDescent="0.35">
      <c r="A18" s="2">
        <v>17</v>
      </c>
      <c r="B18" t="s">
        <v>19</v>
      </c>
      <c r="C18" s="3">
        <v>0.4</v>
      </c>
    </row>
    <row r="19" spans="1:3" hidden="1" x14ac:dyDescent="0.35">
      <c r="A19" s="2">
        <v>18</v>
      </c>
      <c r="B19" t="s">
        <v>20</v>
      </c>
      <c r="C19" s="3">
        <v>0</v>
      </c>
    </row>
    <row r="20" spans="1:3" hidden="1" x14ac:dyDescent="0.35">
      <c r="A20" s="2">
        <v>19</v>
      </c>
      <c r="B20" t="s">
        <v>21</v>
      </c>
      <c r="C20" s="3">
        <v>0</v>
      </c>
    </row>
    <row r="21" spans="1:3" hidden="1" x14ac:dyDescent="0.35">
      <c r="A21" s="2">
        <v>20</v>
      </c>
      <c r="B21" t="s">
        <v>22</v>
      </c>
      <c r="C21" s="3">
        <v>0</v>
      </c>
    </row>
    <row r="22" spans="1:3" hidden="1" x14ac:dyDescent="0.35">
      <c r="A22" s="2">
        <v>21</v>
      </c>
      <c r="B22" t="s">
        <v>23</v>
      </c>
      <c r="C22" s="3">
        <v>0.5</v>
      </c>
    </row>
    <row r="23" spans="1:3" hidden="1" x14ac:dyDescent="0.35">
      <c r="A23" s="2">
        <v>22</v>
      </c>
      <c r="B23" t="s">
        <v>24</v>
      </c>
      <c r="C23" s="3">
        <v>0</v>
      </c>
    </row>
    <row r="24" spans="1:3" hidden="1" x14ac:dyDescent="0.35">
      <c r="A24" s="2">
        <v>23</v>
      </c>
      <c r="B24" t="s">
        <v>25</v>
      </c>
      <c r="C24" s="3">
        <v>0</v>
      </c>
    </row>
    <row r="25" spans="1:3" hidden="1" x14ac:dyDescent="0.35">
      <c r="A25" s="2">
        <v>24</v>
      </c>
      <c r="B25" t="s">
        <v>26</v>
      </c>
      <c r="C25" s="3">
        <v>0</v>
      </c>
    </row>
    <row r="26" spans="1:3" hidden="1" x14ac:dyDescent="0.35">
      <c r="A26" s="2">
        <v>25</v>
      </c>
      <c r="B26" t="s">
        <v>27</v>
      </c>
      <c r="C26" s="3">
        <v>0.5</v>
      </c>
    </row>
    <row r="27" spans="1:3" hidden="1" x14ac:dyDescent="0.35">
      <c r="A27" s="2">
        <v>26</v>
      </c>
      <c r="B27" t="s">
        <v>28</v>
      </c>
      <c r="C27" s="3">
        <v>0</v>
      </c>
    </row>
    <row r="28" spans="1:3" hidden="1" x14ac:dyDescent="0.35">
      <c r="A28" s="2">
        <v>27</v>
      </c>
      <c r="B28" t="s">
        <v>29</v>
      </c>
      <c r="C28" s="3">
        <v>1</v>
      </c>
    </row>
    <row r="29" spans="1:3" hidden="1" x14ac:dyDescent="0.35">
      <c r="A29" s="2">
        <v>28</v>
      </c>
      <c r="B29" t="s">
        <v>30</v>
      </c>
      <c r="C29" s="3">
        <v>0.2</v>
      </c>
    </row>
    <row r="30" spans="1:3" hidden="1" x14ac:dyDescent="0.35">
      <c r="A30" s="2">
        <v>29</v>
      </c>
      <c r="B30" t="s">
        <v>31</v>
      </c>
      <c r="C30" s="3">
        <v>0</v>
      </c>
    </row>
    <row r="31" spans="1:3" hidden="1" x14ac:dyDescent="0.35">
      <c r="A31" s="2">
        <v>30</v>
      </c>
      <c r="B31" t="s">
        <v>32</v>
      </c>
      <c r="C31" s="3">
        <v>0.66700000000000004</v>
      </c>
    </row>
    <row r="32" spans="1:3" hidden="1" x14ac:dyDescent="0.35">
      <c r="A32" s="2">
        <v>31</v>
      </c>
      <c r="B32" t="s">
        <v>33</v>
      </c>
      <c r="C32" s="3">
        <v>0</v>
      </c>
    </row>
    <row r="33" spans="1:3" hidden="1" x14ac:dyDescent="0.35">
      <c r="A33" s="2">
        <v>32</v>
      </c>
      <c r="B33" t="s">
        <v>34</v>
      </c>
      <c r="C33" s="3">
        <v>0</v>
      </c>
    </row>
    <row r="34" spans="1:3" hidden="1" x14ac:dyDescent="0.35">
      <c r="A34" s="2">
        <v>33</v>
      </c>
      <c r="B34" t="s">
        <v>35</v>
      </c>
      <c r="C34" s="3">
        <v>0</v>
      </c>
    </row>
    <row r="35" spans="1:3" hidden="1" x14ac:dyDescent="0.35">
      <c r="A35" s="2">
        <v>34</v>
      </c>
      <c r="B35" t="s">
        <v>36</v>
      </c>
      <c r="C35" s="3">
        <v>0.5</v>
      </c>
    </row>
    <row r="36" spans="1:3" hidden="1" x14ac:dyDescent="0.35">
      <c r="A36" s="2">
        <v>35</v>
      </c>
      <c r="B36" t="s">
        <v>37</v>
      </c>
      <c r="C36" s="3">
        <v>0</v>
      </c>
    </row>
    <row r="37" spans="1:3" hidden="1" x14ac:dyDescent="0.35">
      <c r="A37" s="2">
        <v>36</v>
      </c>
      <c r="B37" t="s">
        <v>38</v>
      </c>
      <c r="C37" s="3">
        <v>0</v>
      </c>
    </row>
    <row r="38" spans="1:3" hidden="1" x14ac:dyDescent="0.35">
      <c r="A38" s="2">
        <v>37</v>
      </c>
      <c r="B38" t="s">
        <v>39</v>
      </c>
      <c r="C38" s="3">
        <v>0.25</v>
      </c>
    </row>
    <row r="39" spans="1:3" hidden="1" x14ac:dyDescent="0.35">
      <c r="A39" s="2">
        <v>38</v>
      </c>
      <c r="B39" t="s">
        <v>40</v>
      </c>
      <c r="C39" s="3">
        <v>0.25</v>
      </c>
    </row>
    <row r="40" spans="1:3" hidden="1" x14ac:dyDescent="0.35">
      <c r="A40" s="2">
        <v>39</v>
      </c>
      <c r="B40" t="s">
        <v>41</v>
      </c>
      <c r="C40" s="3">
        <v>0</v>
      </c>
    </row>
    <row r="41" spans="1:3" hidden="1" x14ac:dyDescent="0.35">
      <c r="A41" s="2">
        <v>40</v>
      </c>
      <c r="B41" t="s">
        <v>42</v>
      </c>
      <c r="C41" s="3">
        <v>0</v>
      </c>
    </row>
    <row r="42" spans="1:3" hidden="1" x14ac:dyDescent="0.35">
      <c r="A42" s="2">
        <v>41</v>
      </c>
      <c r="B42" t="s">
        <v>43</v>
      </c>
      <c r="C42" s="3">
        <v>0</v>
      </c>
    </row>
    <row r="43" spans="1:3" hidden="1" x14ac:dyDescent="0.35">
      <c r="A43" s="2">
        <v>42</v>
      </c>
      <c r="B43" t="s">
        <v>44</v>
      </c>
      <c r="C43" s="3">
        <v>0</v>
      </c>
    </row>
    <row r="44" spans="1:3" hidden="1" x14ac:dyDescent="0.35">
      <c r="A44" s="2">
        <v>43</v>
      </c>
      <c r="B44" t="s">
        <v>45</v>
      </c>
      <c r="C44" s="3">
        <v>0</v>
      </c>
    </row>
    <row r="45" spans="1:3" hidden="1" x14ac:dyDescent="0.35">
      <c r="A45" s="2">
        <v>44</v>
      </c>
      <c r="B45" t="s">
        <v>46</v>
      </c>
      <c r="C45" s="3">
        <v>0</v>
      </c>
    </row>
    <row r="46" spans="1:3" hidden="1" x14ac:dyDescent="0.35">
      <c r="A46" s="2">
        <v>45</v>
      </c>
      <c r="B46" t="s">
        <v>47</v>
      </c>
      <c r="C46" s="3">
        <v>0.5</v>
      </c>
    </row>
    <row r="47" spans="1:3" hidden="1" x14ac:dyDescent="0.35">
      <c r="A47" s="2">
        <v>46</v>
      </c>
      <c r="B47" t="s">
        <v>48</v>
      </c>
      <c r="C47" s="3">
        <v>0</v>
      </c>
    </row>
    <row r="48" spans="1:3" hidden="1" x14ac:dyDescent="0.35">
      <c r="A48" s="2">
        <v>47</v>
      </c>
      <c r="B48" t="s">
        <v>49</v>
      </c>
      <c r="C48" s="3">
        <v>0</v>
      </c>
    </row>
    <row r="49" spans="1:3" hidden="1" x14ac:dyDescent="0.35">
      <c r="A49" s="2">
        <v>48</v>
      </c>
      <c r="B49" t="s">
        <v>50</v>
      </c>
      <c r="C49" s="3">
        <v>0.25</v>
      </c>
    </row>
    <row r="50" spans="1:3" hidden="1" x14ac:dyDescent="0.35">
      <c r="A50" s="2">
        <v>49</v>
      </c>
      <c r="B50" t="s">
        <v>51</v>
      </c>
      <c r="C50" s="3">
        <v>0.33300000000000002</v>
      </c>
    </row>
    <row r="51" spans="1:3" hidden="1" x14ac:dyDescent="0.35">
      <c r="A51" s="2">
        <v>50</v>
      </c>
      <c r="B51" t="s">
        <v>52</v>
      </c>
      <c r="C51" s="3">
        <v>0</v>
      </c>
    </row>
    <row r="52" spans="1:3" hidden="1" x14ac:dyDescent="0.35">
      <c r="A52" s="2">
        <v>51</v>
      </c>
      <c r="B52" t="s">
        <v>53</v>
      </c>
      <c r="C52" s="3">
        <v>0</v>
      </c>
    </row>
    <row r="53" spans="1:3" hidden="1" x14ac:dyDescent="0.35">
      <c r="A53" s="2">
        <v>52</v>
      </c>
      <c r="B53" t="s">
        <v>54</v>
      </c>
      <c r="C53" s="3">
        <v>0</v>
      </c>
    </row>
    <row r="54" spans="1:3" hidden="1" x14ac:dyDescent="0.35">
      <c r="A54" s="2">
        <v>53</v>
      </c>
      <c r="B54" t="s">
        <v>55</v>
      </c>
      <c r="C54" s="3">
        <v>0</v>
      </c>
    </row>
    <row r="55" spans="1:3" hidden="1" x14ac:dyDescent="0.35">
      <c r="A55" s="2">
        <v>54</v>
      </c>
      <c r="B55" t="s">
        <v>56</v>
      </c>
      <c r="C55" s="3">
        <v>0</v>
      </c>
    </row>
    <row r="56" spans="1:3" hidden="1" x14ac:dyDescent="0.35">
      <c r="A56" s="2">
        <v>55</v>
      </c>
      <c r="B56" t="s">
        <v>57</v>
      </c>
      <c r="C56" s="3">
        <v>0</v>
      </c>
    </row>
    <row r="57" spans="1:3" hidden="1" x14ac:dyDescent="0.35">
      <c r="A57" s="2">
        <v>56</v>
      </c>
      <c r="B57" t="s">
        <v>58</v>
      </c>
      <c r="C57" s="3">
        <v>0</v>
      </c>
    </row>
    <row r="58" spans="1:3" hidden="1" x14ac:dyDescent="0.35">
      <c r="A58" s="2">
        <v>57</v>
      </c>
      <c r="B58" t="s">
        <v>59</v>
      </c>
      <c r="C58" s="3">
        <v>0</v>
      </c>
    </row>
    <row r="59" spans="1:3" hidden="1" x14ac:dyDescent="0.35">
      <c r="A59" s="2">
        <v>58</v>
      </c>
      <c r="B59" t="s">
        <v>60</v>
      </c>
      <c r="C59" s="3">
        <v>0</v>
      </c>
    </row>
    <row r="60" spans="1:3" hidden="1" x14ac:dyDescent="0.35">
      <c r="A60" s="2">
        <v>59</v>
      </c>
      <c r="B60" t="s">
        <v>61</v>
      </c>
      <c r="C60" s="3">
        <v>0</v>
      </c>
    </row>
    <row r="61" spans="1:3" hidden="1" x14ac:dyDescent="0.35">
      <c r="A61" s="2">
        <v>60</v>
      </c>
      <c r="B61" t="s">
        <v>62</v>
      </c>
      <c r="C61" s="3">
        <v>0</v>
      </c>
    </row>
    <row r="62" spans="1:3" hidden="1" x14ac:dyDescent="0.35">
      <c r="A62" s="2">
        <v>61</v>
      </c>
      <c r="B62" t="s">
        <v>63</v>
      </c>
      <c r="C62" s="3">
        <v>0</v>
      </c>
    </row>
    <row r="63" spans="1:3" hidden="1" x14ac:dyDescent="0.35">
      <c r="A63" s="2">
        <v>62</v>
      </c>
      <c r="B63" t="s">
        <v>64</v>
      </c>
      <c r="C63" s="3">
        <v>0</v>
      </c>
    </row>
    <row r="64" spans="1:3" hidden="1" x14ac:dyDescent="0.35">
      <c r="A64" s="2">
        <v>63</v>
      </c>
      <c r="B64" t="s">
        <v>65</v>
      </c>
      <c r="C64" s="3">
        <v>1</v>
      </c>
    </row>
    <row r="65" spans="1:3" hidden="1" x14ac:dyDescent="0.35">
      <c r="A65" s="2">
        <v>64</v>
      </c>
      <c r="B65" t="s">
        <v>66</v>
      </c>
      <c r="C65" s="3">
        <v>0</v>
      </c>
    </row>
    <row r="66" spans="1:3" hidden="1" x14ac:dyDescent="0.35">
      <c r="A66" s="2">
        <v>65</v>
      </c>
      <c r="B66" t="s">
        <v>67</v>
      </c>
      <c r="C66" s="3">
        <v>0</v>
      </c>
    </row>
    <row r="67" spans="1:3" hidden="1" x14ac:dyDescent="0.35">
      <c r="A67" s="2">
        <v>66</v>
      </c>
      <c r="B67" t="s">
        <v>68</v>
      </c>
      <c r="C67" s="3">
        <v>0</v>
      </c>
    </row>
    <row r="68" spans="1:3" hidden="1" x14ac:dyDescent="0.35">
      <c r="A68" s="2">
        <v>67</v>
      </c>
      <c r="B68" t="s">
        <v>69</v>
      </c>
      <c r="C68" s="3">
        <v>0.4</v>
      </c>
    </row>
    <row r="69" spans="1:3" hidden="1" x14ac:dyDescent="0.35">
      <c r="A69" s="2">
        <v>68</v>
      </c>
      <c r="B69" t="s">
        <v>70</v>
      </c>
      <c r="C69" s="3">
        <v>0.33300000000000002</v>
      </c>
    </row>
    <row r="70" spans="1:3" hidden="1" x14ac:dyDescent="0.35">
      <c r="A70" s="2">
        <v>69</v>
      </c>
      <c r="B70" t="s">
        <v>71</v>
      </c>
      <c r="C70" s="3">
        <v>0</v>
      </c>
    </row>
    <row r="71" spans="1:3" hidden="1" x14ac:dyDescent="0.35">
      <c r="A71" s="2">
        <v>70</v>
      </c>
      <c r="B71" t="s">
        <v>72</v>
      </c>
      <c r="C71" s="3">
        <v>0.2</v>
      </c>
    </row>
    <row r="72" spans="1:3" hidden="1" x14ac:dyDescent="0.35">
      <c r="A72" s="2">
        <v>71</v>
      </c>
      <c r="B72" t="s">
        <v>73</v>
      </c>
      <c r="C72" s="3">
        <v>0.33300000000000002</v>
      </c>
    </row>
    <row r="73" spans="1:3" hidden="1" x14ac:dyDescent="0.35">
      <c r="A73" s="2">
        <v>72</v>
      </c>
      <c r="B73" t="s">
        <v>74</v>
      </c>
      <c r="C73" s="3">
        <v>0</v>
      </c>
    </row>
    <row r="74" spans="1:3" hidden="1" x14ac:dyDescent="0.35">
      <c r="A74" s="2">
        <v>73</v>
      </c>
      <c r="B74" t="s">
        <v>75</v>
      </c>
      <c r="C74" s="3">
        <v>0</v>
      </c>
    </row>
    <row r="75" spans="1:3" hidden="1" x14ac:dyDescent="0.35">
      <c r="A75" s="2">
        <v>74</v>
      </c>
      <c r="B75" t="s">
        <v>76</v>
      </c>
      <c r="C75" s="3">
        <v>0</v>
      </c>
    </row>
    <row r="76" spans="1:3" hidden="1" x14ac:dyDescent="0.35">
      <c r="A76" s="2">
        <v>75</v>
      </c>
      <c r="B76" t="s">
        <v>77</v>
      </c>
      <c r="C76" s="3">
        <v>0</v>
      </c>
    </row>
    <row r="77" spans="1:3" hidden="1" x14ac:dyDescent="0.35">
      <c r="A77" s="2">
        <v>76</v>
      </c>
      <c r="B77" t="s">
        <v>78</v>
      </c>
      <c r="C77" s="3">
        <v>0</v>
      </c>
    </row>
    <row r="78" spans="1:3" hidden="1" x14ac:dyDescent="0.35">
      <c r="A78" s="2">
        <v>77</v>
      </c>
      <c r="B78" t="s">
        <v>79</v>
      </c>
      <c r="C78" s="3">
        <v>0</v>
      </c>
    </row>
    <row r="79" spans="1:3" hidden="1" x14ac:dyDescent="0.35">
      <c r="A79" s="2">
        <v>78</v>
      </c>
      <c r="B79" t="s">
        <v>80</v>
      </c>
      <c r="C79" s="3">
        <v>1</v>
      </c>
    </row>
    <row r="80" spans="1:3" hidden="1" x14ac:dyDescent="0.35">
      <c r="A80" s="2">
        <v>79</v>
      </c>
      <c r="B80" t="s">
        <v>81</v>
      </c>
      <c r="C80" s="3">
        <v>0</v>
      </c>
    </row>
    <row r="81" spans="1:3" hidden="1" x14ac:dyDescent="0.35">
      <c r="A81" s="2">
        <v>80</v>
      </c>
      <c r="B81" t="s">
        <v>82</v>
      </c>
      <c r="C81" s="3">
        <v>1</v>
      </c>
    </row>
    <row r="82" spans="1:3" hidden="1" x14ac:dyDescent="0.35">
      <c r="A82" s="2">
        <v>81</v>
      </c>
      <c r="B82" t="s">
        <v>83</v>
      </c>
      <c r="C82" s="3">
        <v>0</v>
      </c>
    </row>
    <row r="83" spans="1:3" hidden="1" x14ac:dyDescent="0.35">
      <c r="A83" s="2">
        <v>82</v>
      </c>
      <c r="B83" t="s">
        <v>84</v>
      </c>
      <c r="C83" s="3">
        <v>0.2</v>
      </c>
    </row>
    <row r="84" spans="1:3" hidden="1" x14ac:dyDescent="0.35">
      <c r="A84" s="2">
        <v>83</v>
      </c>
      <c r="B84" t="s">
        <v>85</v>
      </c>
      <c r="C84" s="3">
        <v>0</v>
      </c>
    </row>
    <row r="85" spans="1:3" hidden="1" x14ac:dyDescent="0.35">
      <c r="A85" s="2">
        <v>84</v>
      </c>
      <c r="B85" t="s">
        <v>86</v>
      </c>
      <c r="C85" s="3">
        <v>0</v>
      </c>
    </row>
    <row r="86" spans="1:3" hidden="1" x14ac:dyDescent="0.35">
      <c r="A86" s="2">
        <v>85</v>
      </c>
      <c r="B86" t="s">
        <v>87</v>
      </c>
      <c r="C86" s="3">
        <v>0</v>
      </c>
    </row>
    <row r="87" spans="1:3" hidden="1" x14ac:dyDescent="0.35">
      <c r="A87" s="2">
        <v>86</v>
      </c>
      <c r="B87" t="s">
        <v>88</v>
      </c>
      <c r="C87" s="3">
        <v>0</v>
      </c>
    </row>
    <row r="88" spans="1:3" hidden="1" x14ac:dyDescent="0.35">
      <c r="A88" s="2">
        <v>87</v>
      </c>
      <c r="B88" t="s">
        <v>89</v>
      </c>
      <c r="C88" s="3">
        <v>0.14299999999999999</v>
      </c>
    </row>
    <row r="89" spans="1:3" hidden="1" x14ac:dyDescent="0.35">
      <c r="A89" s="2">
        <v>88</v>
      </c>
      <c r="B89" t="s">
        <v>90</v>
      </c>
      <c r="C89" s="3">
        <v>0</v>
      </c>
    </row>
    <row r="90" spans="1:3" hidden="1" x14ac:dyDescent="0.35">
      <c r="A90" s="2">
        <v>89</v>
      </c>
      <c r="B90" t="s">
        <v>91</v>
      </c>
      <c r="C90" s="3">
        <v>0.33300000000000002</v>
      </c>
    </row>
    <row r="91" spans="1:3" hidden="1" x14ac:dyDescent="0.35">
      <c r="A91" s="2">
        <v>90</v>
      </c>
      <c r="B91" t="s">
        <v>92</v>
      </c>
      <c r="C91" s="3">
        <v>0</v>
      </c>
    </row>
    <row r="92" spans="1:3" hidden="1" x14ac:dyDescent="0.35">
      <c r="A92" s="2">
        <v>91</v>
      </c>
      <c r="B92" t="s">
        <v>93</v>
      </c>
      <c r="C92" s="3">
        <v>0</v>
      </c>
    </row>
    <row r="93" spans="1:3" hidden="1" x14ac:dyDescent="0.35">
      <c r="A93" s="2">
        <v>92</v>
      </c>
      <c r="B93" t="s">
        <v>94</v>
      </c>
      <c r="C93" s="3">
        <v>0</v>
      </c>
    </row>
    <row r="94" spans="1:3" hidden="1" x14ac:dyDescent="0.35">
      <c r="A94" s="2">
        <v>93</v>
      </c>
      <c r="B94" t="s">
        <v>95</v>
      </c>
      <c r="C94" s="3">
        <v>0</v>
      </c>
    </row>
    <row r="95" spans="1:3" hidden="1" x14ac:dyDescent="0.35">
      <c r="A95" s="2">
        <v>94</v>
      </c>
      <c r="B95" t="s">
        <v>96</v>
      </c>
      <c r="C95" s="3">
        <v>0</v>
      </c>
    </row>
    <row r="96" spans="1:3" hidden="1" x14ac:dyDescent="0.35">
      <c r="A96" s="2">
        <v>95</v>
      </c>
      <c r="B96" t="s">
        <v>97</v>
      </c>
      <c r="C96" s="3">
        <v>0</v>
      </c>
    </row>
    <row r="97" spans="1:3" hidden="1" x14ac:dyDescent="0.35">
      <c r="A97" s="2">
        <v>96</v>
      </c>
      <c r="B97" t="s">
        <v>98</v>
      </c>
      <c r="C97" s="3">
        <v>0</v>
      </c>
    </row>
    <row r="98" spans="1:3" hidden="1" x14ac:dyDescent="0.35">
      <c r="A98" s="2">
        <v>97</v>
      </c>
      <c r="B98" t="s">
        <v>99</v>
      </c>
      <c r="C98" s="3">
        <v>0.5</v>
      </c>
    </row>
    <row r="99" spans="1:3" hidden="1" x14ac:dyDescent="0.35">
      <c r="A99" s="2">
        <v>98</v>
      </c>
      <c r="B99" t="s">
        <v>100</v>
      </c>
      <c r="C99" s="3">
        <v>0</v>
      </c>
    </row>
    <row r="100" spans="1:3" hidden="1" x14ac:dyDescent="0.35">
      <c r="A100" s="2">
        <v>99</v>
      </c>
      <c r="B100" t="s">
        <v>101</v>
      </c>
      <c r="C100" s="3">
        <v>0.33300000000000002</v>
      </c>
    </row>
    <row r="101" spans="1:3" hidden="1" x14ac:dyDescent="0.35">
      <c r="A101" s="2">
        <v>100</v>
      </c>
      <c r="B101" t="s">
        <v>102</v>
      </c>
      <c r="C101" s="3">
        <v>0</v>
      </c>
    </row>
    <row r="102" spans="1:3" hidden="1" x14ac:dyDescent="0.35">
      <c r="A102" s="2">
        <v>101</v>
      </c>
      <c r="B102" t="s">
        <v>103</v>
      </c>
      <c r="C102" s="3">
        <v>0</v>
      </c>
    </row>
    <row r="103" spans="1:3" hidden="1" x14ac:dyDescent="0.35">
      <c r="A103" s="2">
        <v>102</v>
      </c>
      <c r="B103" t="s">
        <v>104</v>
      </c>
      <c r="C103" s="3">
        <v>0</v>
      </c>
    </row>
    <row r="104" spans="1:3" hidden="1" x14ac:dyDescent="0.35">
      <c r="A104" s="2">
        <v>103</v>
      </c>
      <c r="B104" t="s">
        <v>105</v>
      </c>
      <c r="C104" s="3">
        <v>0</v>
      </c>
    </row>
    <row r="105" spans="1:3" hidden="1" x14ac:dyDescent="0.35">
      <c r="A105" s="2">
        <v>104</v>
      </c>
      <c r="B105" t="s">
        <v>106</v>
      </c>
      <c r="C105" s="3">
        <v>0</v>
      </c>
    </row>
    <row r="106" spans="1:3" hidden="1" x14ac:dyDescent="0.35">
      <c r="A106" s="2">
        <v>105</v>
      </c>
      <c r="B106" t="s">
        <v>107</v>
      </c>
      <c r="C106" s="3">
        <v>0</v>
      </c>
    </row>
    <row r="107" spans="1:3" hidden="1" x14ac:dyDescent="0.35">
      <c r="A107" s="2">
        <v>106</v>
      </c>
      <c r="B107" t="s">
        <v>108</v>
      </c>
      <c r="C107" s="3">
        <v>0</v>
      </c>
    </row>
    <row r="108" spans="1:3" hidden="1" x14ac:dyDescent="0.35">
      <c r="A108" s="2">
        <v>107</v>
      </c>
      <c r="B108" t="s">
        <v>109</v>
      </c>
      <c r="C108" s="3">
        <v>0</v>
      </c>
    </row>
    <row r="109" spans="1:3" hidden="1" x14ac:dyDescent="0.35">
      <c r="A109" s="2">
        <v>108</v>
      </c>
      <c r="B109" t="s">
        <v>110</v>
      </c>
      <c r="C109" s="3">
        <v>0</v>
      </c>
    </row>
    <row r="110" spans="1:3" hidden="1" x14ac:dyDescent="0.35">
      <c r="A110" s="2">
        <v>109</v>
      </c>
      <c r="B110" t="s">
        <v>111</v>
      </c>
      <c r="C110" s="3">
        <v>0</v>
      </c>
    </row>
    <row r="111" spans="1:3" hidden="1" x14ac:dyDescent="0.35">
      <c r="A111" s="2">
        <v>110</v>
      </c>
      <c r="B111" t="s">
        <v>112</v>
      </c>
      <c r="C111" s="3">
        <v>0</v>
      </c>
    </row>
    <row r="112" spans="1:3" hidden="1" x14ac:dyDescent="0.35">
      <c r="A112" s="2">
        <v>111</v>
      </c>
      <c r="B112" t="s">
        <v>113</v>
      </c>
      <c r="C112" s="3">
        <v>0</v>
      </c>
    </row>
    <row r="113" spans="1:3" hidden="1" x14ac:dyDescent="0.35">
      <c r="A113" s="2">
        <v>112</v>
      </c>
      <c r="B113" t="s">
        <v>114</v>
      </c>
      <c r="C113" s="3">
        <v>0</v>
      </c>
    </row>
    <row r="114" spans="1:3" hidden="1" x14ac:dyDescent="0.35">
      <c r="A114" s="2">
        <v>113</v>
      </c>
      <c r="B114" t="s">
        <v>115</v>
      </c>
      <c r="C114" s="3">
        <v>0</v>
      </c>
    </row>
    <row r="115" spans="1:3" hidden="1" x14ac:dyDescent="0.35">
      <c r="A115" s="2">
        <v>114</v>
      </c>
      <c r="B115" t="s">
        <v>116</v>
      </c>
      <c r="C115" s="3">
        <v>1</v>
      </c>
    </row>
    <row r="116" spans="1:3" hidden="1" x14ac:dyDescent="0.35">
      <c r="A116" s="2">
        <v>115</v>
      </c>
      <c r="B116" t="s">
        <v>117</v>
      </c>
      <c r="C116" s="3">
        <v>0</v>
      </c>
    </row>
    <row r="117" spans="1:3" hidden="1" x14ac:dyDescent="0.35">
      <c r="A117" s="2">
        <v>116</v>
      </c>
      <c r="B117" t="s">
        <v>118</v>
      </c>
      <c r="C117" s="3">
        <v>0</v>
      </c>
    </row>
    <row r="118" spans="1:3" hidden="1" x14ac:dyDescent="0.35">
      <c r="A118" s="2">
        <v>117</v>
      </c>
      <c r="B118" t="s">
        <v>119</v>
      </c>
      <c r="C118" s="3">
        <v>0</v>
      </c>
    </row>
    <row r="119" spans="1:3" hidden="1" x14ac:dyDescent="0.35">
      <c r="A119" s="2">
        <v>118</v>
      </c>
      <c r="B119" t="s">
        <v>120</v>
      </c>
      <c r="C119" s="3">
        <v>0</v>
      </c>
    </row>
    <row r="120" spans="1:3" hidden="1" x14ac:dyDescent="0.35">
      <c r="A120" s="2">
        <v>119</v>
      </c>
      <c r="B120" t="s">
        <v>121</v>
      </c>
      <c r="C120" s="3">
        <v>0.25</v>
      </c>
    </row>
    <row r="121" spans="1:3" hidden="1" x14ac:dyDescent="0.35">
      <c r="A121" s="2">
        <v>120</v>
      </c>
      <c r="B121" t="s">
        <v>122</v>
      </c>
      <c r="C121" s="3">
        <v>0</v>
      </c>
    </row>
    <row r="122" spans="1:3" hidden="1" x14ac:dyDescent="0.35">
      <c r="A122" s="2">
        <v>121</v>
      </c>
      <c r="B122" t="s">
        <v>123</v>
      </c>
      <c r="C122" s="3">
        <v>0</v>
      </c>
    </row>
    <row r="123" spans="1:3" hidden="1" x14ac:dyDescent="0.35">
      <c r="A123" s="2">
        <v>122</v>
      </c>
      <c r="B123" t="s">
        <v>124</v>
      </c>
      <c r="C123" s="3">
        <v>0</v>
      </c>
    </row>
    <row r="124" spans="1:3" hidden="1" x14ac:dyDescent="0.35">
      <c r="A124" s="2">
        <v>123</v>
      </c>
      <c r="B124" t="s">
        <v>125</v>
      </c>
      <c r="C124" s="3">
        <v>0</v>
      </c>
    </row>
    <row r="125" spans="1:3" hidden="1" x14ac:dyDescent="0.35">
      <c r="A125" s="2">
        <v>124</v>
      </c>
      <c r="B125" t="s">
        <v>126</v>
      </c>
      <c r="C125" s="3">
        <v>0</v>
      </c>
    </row>
    <row r="126" spans="1:3" hidden="1" x14ac:dyDescent="0.35">
      <c r="A126" s="2">
        <v>125</v>
      </c>
      <c r="B126" t="s">
        <v>127</v>
      </c>
      <c r="C126" s="3">
        <v>0</v>
      </c>
    </row>
    <row r="127" spans="1:3" hidden="1" x14ac:dyDescent="0.35">
      <c r="A127" s="2">
        <v>126</v>
      </c>
      <c r="B127" t="s">
        <v>128</v>
      </c>
      <c r="C127" s="3">
        <v>0</v>
      </c>
    </row>
    <row r="128" spans="1:3" hidden="1" x14ac:dyDescent="0.35">
      <c r="A128" s="2">
        <v>127</v>
      </c>
      <c r="B128" t="s">
        <v>129</v>
      </c>
      <c r="C128" s="3">
        <v>0</v>
      </c>
    </row>
    <row r="129" spans="1:3" hidden="1" x14ac:dyDescent="0.35">
      <c r="A129" s="2">
        <v>128</v>
      </c>
      <c r="B129" t="s">
        <v>130</v>
      </c>
      <c r="C129" s="3">
        <v>0</v>
      </c>
    </row>
    <row r="130" spans="1:3" hidden="1" x14ac:dyDescent="0.35">
      <c r="A130" s="2">
        <v>129</v>
      </c>
      <c r="B130" t="s">
        <v>131</v>
      </c>
      <c r="C130" s="3">
        <v>0</v>
      </c>
    </row>
    <row r="131" spans="1:3" hidden="1" x14ac:dyDescent="0.35">
      <c r="A131" s="2">
        <v>130</v>
      </c>
      <c r="B131" t="s">
        <v>132</v>
      </c>
      <c r="C131" s="3">
        <v>1</v>
      </c>
    </row>
    <row r="132" spans="1:3" hidden="1" x14ac:dyDescent="0.35">
      <c r="A132" s="2">
        <v>131</v>
      </c>
      <c r="B132" t="s">
        <v>133</v>
      </c>
      <c r="C132" s="3">
        <v>0</v>
      </c>
    </row>
    <row r="133" spans="1:3" hidden="1" x14ac:dyDescent="0.35">
      <c r="A133" s="2">
        <v>132</v>
      </c>
      <c r="B133" t="s">
        <v>134</v>
      </c>
      <c r="C133" s="3">
        <v>0</v>
      </c>
    </row>
    <row r="134" spans="1:3" hidden="1" x14ac:dyDescent="0.35">
      <c r="A134" s="2">
        <v>133</v>
      </c>
      <c r="B134" t="s">
        <v>135</v>
      </c>
      <c r="C134" s="3">
        <v>0</v>
      </c>
    </row>
    <row r="135" spans="1:3" hidden="1" x14ac:dyDescent="0.35">
      <c r="A135" s="2">
        <v>134</v>
      </c>
      <c r="B135" t="s">
        <v>136</v>
      </c>
      <c r="C135" s="3">
        <v>0.5</v>
      </c>
    </row>
    <row r="136" spans="1:3" hidden="1" x14ac:dyDescent="0.35">
      <c r="A136" s="2">
        <v>135</v>
      </c>
      <c r="B136" t="s">
        <v>137</v>
      </c>
      <c r="C136" s="3">
        <v>0</v>
      </c>
    </row>
    <row r="137" spans="1:3" hidden="1" x14ac:dyDescent="0.35">
      <c r="A137" s="2">
        <v>136</v>
      </c>
      <c r="B137" t="s">
        <v>138</v>
      </c>
      <c r="C137" s="3">
        <v>0.25</v>
      </c>
    </row>
    <row r="138" spans="1:3" hidden="1" x14ac:dyDescent="0.35">
      <c r="A138" s="2">
        <v>137</v>
      </c>
      <c r="B138" t="s">
        <v>139</v>
      </c>
      <c r="C138" s="3">
        <v>0.2</v>
      </c>
    </row>
    <row r="139" spans="1:3" hidden="1" x14ac:dyDescent="0.35">
      <c r="A139" s="2">
        <v>138</v>
      </c>
      <c r="B139" t="s">
        <v>140</v>
      </c>
      <c r="C139" s="3">
        <v>0</v>
      </c>
    </row>
    <row r="140" spans="1:3" hidden="1" x14ac:dyDescent="0.35">
      <c r="A140" s="2">
        <v>139</v>
      </c>
      <c r="B140" t="s">
        <v>141</v>
      </c>
      <c r="C140" s="3">
        <v>0</v>
      </c>
    </row>
    <row r="141" spans="1:3" hidden="1" x14ac:dyDescent="0.35">
      <c r="A141" s="2">
        <v>140</v>
      </c>
      <c r="B141" t="s">
        <v>142</v>
      </c>
      <c r="C141" s="3">
        <v>0</v>
      </c>
    </row>
    <row r="142" spans="1:3" hidden="1" x14ac:dyDescent="0.35">
      <c r="A142" s="2">
        <v>141</v>
      </c>
      <c r="B142" t="s">
        <v>143</v>
      </c>
      <c r="C142" s="3">
        <v>0</v>
      </c>
    </row>
    <row r="143" spans="1:3" hidden="1" x14ac:dyDescent="0.35">
      <c r="A143" s="2">
        <v>142</v>
      </c>
      <c r="B143" t="s">
        <v>144</v>
      </c>
      <c r="C143" s="3">
        <v>0</v>
      </c>
    </row>
    <row r="144" spans="1:3" hidden="1" x14ac:dyDescent="0.35">
      <c r="A144" s="2">
        <v>143</v>
      </c>
      <c r="B144" t="s">
        <v>145</v>
      </c>
      <c r="C144" s="3">
        <v>0</v>
      </c>
    </row>
    <row r="145" spans="1:9" hidden="1" x14ac:dyDescent="0.35">
      <c r="A145" s="2">
        <v>144</v>
      </c>
      <c r="B145" t="s">
        <v>146</v>
      </c>
      <c r="C145" s="3">
        <v>0</v>
      </c>
    </row>
    <row r="146" spans="1:9" hidden="1" x14ac:dyDescent="0.35">
      <c r="A146" s="2">
        <v>145</v>
      </c>
      <c r="B146" t="s">
        <v>147</v>
      </c>
      <c r="C146" s="3">
        <v>0.14000000000000001</v>
      </c>
    </row>
    <row r="147" spans="1:9" x14ac:dyDescent="0.35">
      <c r="A147" s="2">
        <v>146</v>
      </c>
      <c r="B147" t="s">
        <v>148</v>
      </c>
      <c r="C147" s="3">
        <v>0.68400000000000005</v>
      </c>
      <c r="D147">
        <v>34</v>
      </c>
      <c r="E147">
        <v>25</v>
      </c>
      <c r="F147" s="3">
        <f>E147/D147</f>
        <v>0.73529411764705888</v>
      </c>
      <c r="G147" s="4">
        <f>F147/2</f>
        <v>0.36764705882352944</v>
      </c>
      <c r="H147" s="4">
        <f>(C147+G147)/2</f>
        <v>0.5258235294117648</v>
      </c>
      <c r="I147" s="3"/>
    </row>
    <row r="148" spans="1:9" hidden="1" x14ac:dyDescent="0.35">
      <c r="A148" s="2">
        <v>147</v>
      </c>
      <c r="B148" t="s">
        <v>149</v>
      </c>
      <c r="C148" s="3">
        <v>0</v>
      </c>
    </row>
    <row r="149" spans="1:9" hidden="1" x14ac:dyDescent="0.35">
      <c r="A149" s="2">
        <v>148</v>
      </c>
      <c r="B149" t="s">
        <v>150</v>
      </c>
      <c r="C149" s="3">
        <v>0.57099999999999995</v>
      </c>
    </row>
    <row r="150" spans="1:9" hidden="1" x14ac:dyDescent="0.35">
      <c r="A150" s="2">
        <v>149</v>
      </c>
      <c r="B150" t="s">
        <v>151</v>
      </c>
      <c r="C150" s="3">
        <v>0.14299999999999999</v>
      </c>
    </row>
    <row r="151" spans="1:9" hidden="1" x14ac:dyDescent="0.35">
      <c r="A151" s="2">
        <v>150</v>
      </c>
      <c r="B151" t="s">
        <v>152</v>
      </c>
      <c r="C151" s="3">
        <v>0</v>
      </c>
    </row>
    <row r="152" spans="1:9" hidden="1" x14ac:dyDescent="0.35">
      <c r="A152" s="2">
        <v>151</v>
      </c>
      <c r="B152" t="s">
        <v>153</v>
      </c>
      <c r="C152" s="3">
        <v>0.14299999999999999</v>
      </c>
    </row>
    <row r="153" spans="1:9" hidden="1" x14ac:dyDescent="0.35">
      <c r="A153" s="2">
        <v>152</v>
      </c>
      <c r="B153" t="s">
        <v>154</v>
      </c>
      <c r="C153" s="3">
        <v>0.27</v>
      </c>
    </row>
    <row r="154" spans="1:9" hidden="1" x14ac:dyDescent="0.35">
      <c r="A154" s="2">
        <v>153</v>
      </c>
      <c r="B154" t="s">
        <v>155</v>
      </c>
      <c r="C154" s="3">
        <v>0.4</v>
      </c>
    </row>
    <row r="155" spans="1:9" hidden="1" x14ac:dyDescent="0.35">
      <c r="A155" s="2">
        <v>154</v>
      </c>
      <c r="B155" t="s">
        <v>156</v>
      </c>
      <c r="C155" s="3">
        <v>1</v>
      </c>
    </row>
    <row r="156" spans="1:9" hidden="1" x14ac:dyDescent="0.35">
      <c r="A156" s="2">
        <v>155</v>
      </c>
      <c r="B156" t="s">
        <v>157</v>
      </c>
      <c r="C156" s="3">
        <v>0.111</v>
      </c>
    </row>
    <row r="157" spans="1:9" hidden="1" x14ac:dyDescent="0.35">
      <c r="A157" s="2">
        <v>156</v>
      </c>
      <c r="B157" t="s">
        <v>158</v>
      </c>
      <c r="C157" s="3">
        <v>6.7000000000000004E-2</v>
      </c>
    </row>
    <row r="158" spans="1:9" hidden="1" x14ac:dyDescent="0.35">
      <c r="A158" s="2">
        <v>157</v>
      </c>
      <c r="B158" t="s">
        <v>159</v>
      </c>
      <c r="C158" s="3">
        <v>0.16700000000000001</v>
      </c>
    </row>
    <row r="159" spans="1:9" hidden="1" x14ac:dyDescent="0.35">
      <c r="A159" s="2">
        <v>158</v>
      </c>
      <c r="B159" t="s">
        <v>160</v>
      </c>
      <c r="C159" s="3">
        <v>5.8999999999999997E-2</v>
      </c>
    </row>
    <row r="160" spans="1:9" hidden="1" x14ac:dyDescent="0.35">
      <c r="A160" s="2">
        <v>159</v>
      </c>
      <c r="B160" t="s">
        <v>161</v>
      </c>
      <c r="C160" s="3">
        <v>0.25</v>
      </c>
    </row>
    <row r="161" spans="1:9" hidden="1" x14ac:dyDescent="0.35">
      <c r="A161" s="2">
        <v>160</v>
      </c>
      <c r="B161" t="s">
        <v>162</v>
      </c>
      <c r="C161" s="3">
        <v>0.14299999999999999</v>
      </c>
    </row>
    <row r="162" spans="1:9" hidden="1" x14ac:dyDescent="0.35">
      <c r="A162" s="2">
        <v>161</v>
      </c>
      <c r="B162" t="s">
        <v>163</v>
      </c>
      <c r="C162" s="3">
        <v>0</v>
      </c>
    </row>
    <row r="163" spans="1:9" hidden="1" x14ac:dyDescent="0.35">
      <c r="A163" s="2">
        <v>162</v>
      </c>
      <c r="B163" t="s">
        <v>164</v>
      </c>
      <c r="C163" s="3">
        <v>0.5</v>
      </c>
    </row>
    <row r="164" spans="1:9" hidden="1" x14ac:dyDescent="0.35">
      <c r="A164" s="2">
        <v>163</v>
      </c>
      <c r="B164" t="s">
        <v>165</v>
      </c>
      <c r="C164" s="3">
        <v>0.04</v>
      </c>
    </row>
    <row r="165" spans="1:9" hidden="1" x14ac:dyDescent="0.35">
      <c r="A165" s="2">
        <v>164</v>
      </c>
      <c r="B165" t="s">
        <v>166</v>
      </c>
      <c r="C165" s="3">
        <v>0.44400000000000001</v>
      </c>
    </row>
    <row r="166" spans="1:9" hidden="1" x14ac:dyDescent="0.35">
      <c r="A166" s="2">
        <v>165</v>
      </c>
      <c r="B166" t="s">
        <v>167</v>
      </c>
      <c r="C166" s="3">
        <v>0</v>
      </c>
    </row>
    <row r="167" spans="1:9" hidden="1" x14ac:dyDescent="0.35">
      <c r="A167" s="2">
        <v>166</v>
      </c>
      <c r="B167" t="s">
        <v>168</v>
      </c>
      <c r="C167" s="3">
        <v>0</v>
      </c>
    </row>
    <row r="168" spans="1:9" x14ac:dyDescent="0.35">
      <c r="A168" s="2">
        <v>167</v>
      </c>
      <c r="B168" t="s">
        <v>169</v>
      </c>
      <c r="C168" s="3">
        <v>0.3</v>
      </c>
      <c r="D168">
        <v>88</v>
      </c>
      <c r="E168">
        <v>79</v>
      </c>
      <c r="F168" s="3">
        <f>E168/D168</f>
        <v>0.89772727272727271</v>
      </c>
      <c r="G168" s="4">
        <f>F168/2</f>
        <v>0.44886363636363635</v>
      </c>
      <c r="H168" s="4">
        <f>(C168+G168)/2</f>
        <v>0.37443181818181814</v>
      </c>
      <c r="I168" s="3"/>
    </row>
    <row r="169" spans="1:9" hidden="1" x14ac:dyDescent="0.35">
      <c r="A169" s="2">
        <v>168</v>
      </c>
      <c r="B169" t="s">
        <v>170</v>
      </c>
      <c r="C169" s="3">
        <v>0.28599999999999998</v>
      </c>
    </row>
    <row r="170" spans="1:9" hidden="1" x14ac:dyDescent="0.35">
      <c r="A170" s="2">
        <v>169</v>
      </c>
      <c r="B170" t="s">
        <v>171</v>
      </c>
      <c r="C170" s="3">
        <v>0.55600000000000005</v>
      </c>
    </row>
    <row r="171" spans="1:9" hidden="1" x14ac:dyDescent="0.35">
      <c r="A171" s="2">
        <v>170</v>
      </c>
      <c r="B171" t="s">
        <v>172</v>
      </c>
      <c r="C171" s="3">
        <v>0.66700000000000004</v>
      </c>
    </row>
    <row r="172" spans="1:9" hidden="1" x14ac:dyDescent="0.35">
      <c r="A172" s="2">
        <v>171</v>
      </c>
      <c r="B172" t="s">
        <v>173</v>
      </c>
      <c r="C172" s="3">
        <v>0</v>
      </c>
    </row>
    <row r="173" spans="1:9" hidden="1" x14ac:dyDescent="0.35">
      <c r="A173" s="2">
        <v>172</v>
      </c>
      <c r="B173" t="s">
        <v>174</v>
      </c>
      <c r="C173" s="3">
        <v>0</v>
      </c>
    </row>
    <row r="174" spans="1:9" hidden="1" x14ac:dyDescent="0.35">
      <c r="A174" s="2">
        <v>173</v>
      </c>
      <c r="B174" t="s">
        <v>175</v>
      </c>
      <c r="C174" s="3">
        <v>1</v>
      </c>
    </row>
    <row r="175" spans="1:9" hidden="1" x14ac:dyDescent="0.35">
      <c r="A175" s="2">
        <v>174</v>
      </c>
      <c r="B175" t="s">
        <v>176</v>
      </c>
      <c r="C175" s="3">
        <v>0.5</v>
      </c>
    </row>
    <row r="176" spans="1:9" hidden="1" x14ac:dyDescent="0.35">
      <c r="A176" s="2">
        <v>175</v>
      </c>
      <c r="B176" t="s">
        <v>177</v>
      </c>
      <c r="C176" s="3">
        <v>0.2</v>
      </c>
    </row>
    <row r="177" spans="1:3" hidden="1" x14ac:dyDescent="0.35">
      <c r="A177" s="2">
        <v>176</v>
      </c>
      <c r="B177" t="s">
        <v>178</v>
      </c>
      <c r="C177" s="3">
        <v>0</v>
      </c>
    </row>
    <row r="178" spans="1:3" hidden="1" x14ac:dyDescent="0.35">
      <c r="A178" s="2">
        <v>177</v>
      </c>
      <c r="B178" t="s">
        <v>179</v>
      </c>
      <c r="C178" s="3">
        <v>0</v>
      </c>
    </row>
    <row r="179" spans="1:3" hidden="1" x14ac:dyDescent="0.35">
      <c r="A179" s="2">
        <v>178</v>
      </c>
      <c r="B179" t="s">
        <v>180</v>
      </c>
      <c r="C179" s="3">
        <v>0</v>
      </c>
    </row>
    <row r="180" spans="1:3" hidden="1" x14ac:dyDescent="0.35">
      <c r="A180" s="2">
        <v>179</v>
      </c>
      <c r="B180" t="s">
        <v>181</v>
      </c>
      <c r="C180" s="3">
        <v>0.2</v>
      </c>
    </row>
    <row r="181" spans="1:3" hidden="1" x14ac:dyDescent="0.35">
      <c r="A181" s="2">
        <v>180</v>
      </c>
      <c r="B181" t="s">
        <v>182</v>
      </c>
      <c r="C181" s="3">
        <v>0</v>
      </c>
    </row>
    <row r="182" spans="1:3" hidden="1" x14ac:dyDescent="0.35">
      <c r="A182" s="2">
        <v>181</v>
      </c>
      <c r="B182" t="s">
        <v>183</v>
      </c>
      <c r="C182" s="3">
        <v>1</v>
      </c>
    </row>
    <row r="183" spans="1:3" hidden="1" x14ac:dyDescent="0.35">
      <c r="A183" s="2">
        <v>182</v>
      </c>
      <c r="B183" t="s">
        <v>184</v>
      </c>
      <c r="C183" s="3">
        <v>0</v>
      </c>
    </row>
    <row r="184" spans="1:3" hidden="1" x14ac:dyDescent="0.35">
      <c r="A184" s="2">
        <v>183</v>
      </c>
      <c r="B184" t="s">
        <v>185</v>
      </c>
      <c r="C184" s="3">
        <v>0.25</v>
      </c>
    </row>
    <row r="185" spans="1:3" hidden="1" x14ac:dyDescent="0.35">
      <c r="A185" s="2">
        <v>184</v>
      </c>
      <c r="B185" t="s">
        <v>186</v>
      </c>
      <c r="C185" s="3">
        <v>0.25</v>
      </c>
    </row>
    <row r="186" spans="1:3" hidden="1" x14ac:dyDescent="0.35">
      <c r="A186" s="2">
        <v>185</v>
      </c>
      <c r="B186" t="s">
        <v>187</v>
      </c>
      <c r="C186" s="3">
        <v>0.5</v>
      </c>
    </row>
    <row r="187" spans="1:3" hidden="1" x14ac:dyDescent="0.35">
      <c r="A187" s="2">
        <v>186</v>
      </c>
      <c r="B187" t="s">
        <v>188</v>
      </c>
      <c r="C187" s="3">
        <v>0.66700000000000004</v>
      </c>
    </row>
    <row r="188" spans="1:3" hidden="1" x14ac:dyDescent="0.35">
      <c r="A188" s="2">
        <v>187</v>
      </c>
      <c r="B188" t="s">
        <v>189</v>
      </c>
      <c r="C188" s="3">
        <v>0</v>
      </c>
    </row>
    <row r="189" spans="1:3" hidden="1" x14ac:dyDescent="0.35">
      <c r="A189" s="2">
        <v>188</v>
      </c>
      <c r="B189" t="s">
        <v>190</v>
      </c>
      <c r="C189" s="3">
        <v>0</v>
      </c>
    </row>
    <row r="190" spans="1:3" hidden="1" x14ac:dyDescent="0.35">
      <c r="A190" s="2">
        <v>189</v>
      </c>
      <c r="B190" t="s">
        <v>191</v>
      </c>
      <c r="C190" s="3">
        <v>0</v>
      </c>
    </row>
    <row r="191" spans="1:3" hidden="1" x14ac:dyDescent="0.35">
      <c r="A191" s="2">
        <v>190</v>
      </c>
      <c r="B191" t="s">
        <v>192</v>
      </c>
      <c r="C191" s="3">
        <v>0</v>
      </c>
    </row>
    <row r="192" spans="1:3" hidden="1" x14ac:dyDescent="0.35">
      <c r="A192" s="2">
        <v>191</v>
      </c>
      <c r="B192" t="s">
        <v>193</v>
      </c>
      <c r="C192" s="3">
        <v>0</v>
      </c>
    </row>
    <row r="193" spans="1:3" hidden="1" x14ac:dyDescent="0.35">
      <c r="A193" s="2">
        <v>192</v>
      </c>
      <c r="B193" t="s">
        <v>194</v>
      </c>
      <c r="C193" s="3">
        <v>0</v>
      </c>
    </row>
    <row r="194" spans="1:3" hidden="1" x14ac:dyDescent="0.35">
      <c r="A194" s="2">
        <v>193</v>
      </c>
      <c r="B194" t="s">
        <v>195</v>
      </c>
      <c r="C194" s="3">
        <v>0</v>
      </c>
    </row>
    <row r="195" spans="1:3" hidden="1" x14ac:dyDescent="0.35">
      <c r="A195" s="2">
        <v>194</v>
      </c>
      <c r="B195" t="s">
        <v>196</v>
      </c>
      <c r="C195" s="3">
        <v>0</v>
      </c>
    </row>
    <row r="196" spans="1:3" hidden="1" x14ac:dyDescent="0.35">
      <c r="A196" s="2">
        <v>195</v>
      </c>
      <c r="B196" t="s">
        <v>197</v>
      </c>
      <c r="C196" s="3">
        <v>0</v>
      </c>
    </row>
    <row r="197" spans="1:3" hidden="1" x14ac:dyDescent="0.35">
      <c r="A197" s="2">
        <v>196</v>
      </c>
      <c r="B197" t="s">
        <v>198</v>
      </c>
      <c r="C197" s="3">
        <v>0</v>
      </c>
    </row>
    <row r="198" spans="1:3" hidden="1" x14ac:dyDescent="0.35">
      <c r="A198" s="2">
        <v>197</v>
      </c>
      <c r="B198" t="s">
        <v>199</v>
      </c>
      <c r="C198" s="3">
        <v>0</v>
      </c>
    </row>
    <row r="199" spans="1:3" hidden="1" x14ac:dyDescent="0.35">
      <c r="A199" s="2">
        <v>198</v>
      </c>
      <c r="B199" t="s">
        <v>200</v>
      </c>
      <c r="C199" s="3">
        <v>0</v>
      </c>
    </row>
    <row r="200" spans="1:3" hidden="1" x14ac:dyDescent="0.35">
      <c r="A200" s="2">
        <v>199</v>
      </c>
      <c r="B200" t="s">
        <v>201</v>
      </c>
      <c r="C200" s="3">
        <v>0</v>
      </c>
    </row>
    <row r="201" spans="1:3" hidden="1" x14ac:dyDescent="0.35">
      <c r="A201" s="2">
        <v>200</v>
      </c>
      <c r="B201" t="s">
        <v>202</v>
      </c>
      <c r="C201" s="3">
        <v>0</v>
      </c>
    </row>
    <row r="202" spans="1:3" hidden="1" x14ac:dyDescent="0.35">
      <c r="A202" s="2">
        <v>201</v>
      </c>
      <c r="B202" t="s">
        <v>203</v>
      </c>
      <c r="C202" s="3">
        <v>0</v>
      </c>
    </row>
    <row r="203" spans="1:3" hidden="1" x14ac:dyDescent="0.35">
      <c r="A203" s="2">
        <v>202</v>
      </c>
      <c r="B203" t="s">
        <v>204</v>
      </c>
      <c r="C203" s="3">
        <v>0</v>
      </c>
    </row>
    <row r="204" spans="1:3" hidden="1" x14ac:dyDescent="0.35">
      <c r="A204" s="2">
        <v>203</v>
      </c>
      <c r="B204" t="s">
        <v>205</v>
      </c>
      <c r="C204" s="3">
        <v>0.375</v>
      </c>
    </row>
    <row r="205" spans="1:3" hidden="1" x14ac:dyDescent="0.35">
      <c r="A205" s="2">
        <v>204</v>
      </c>
      <c r="B205" t="s">
        <v>206</v>
      </c>
      <c r="C205" s="3">
        <v>0.5</v>
      </c>
    </row>
    <row r="206" spans="1:3" hidden="1" x14ac:dyDescent="0.35">
      <c r="A206" s="2">
        <v>205</v>
      </c>
      <c r="B206" t="s">
        <v>207</v>
      </c>
      <c r="C206" s="3">
        <v>0</v>
      </c>
    </row>
    <row r="207" spans="1:3" hidden="1" x14ac:dyDescent="0.35">
      <c r="A207" s="2">
        <v>206</v>
      </c>
      <c r="B207" t="s">
        <v>208</v>
      </c>
      <c r="C207" s="3">
        <v>0</v>
      </c>
    </row>
    <row r="208" spans="1:3" hidden="1" x14ac:dyDescent="0.35">
      <c r="A208" s="2">
        <v>207</v>
      </c>
      <c r="B208" t="s">
        <v>209</v>
      </c>
      <c r="C208" s="3">
        <v>0</v>
      </c>
    </row>
    <row r="209" spans="1:3" hidden="1" x14ac:dyDescent="0.35">
      <c r="A209" s="2">
        <v>208</v>
      </c>
      <c r="B209" t="s">
        <v>210</v>
      </c>
      <c r="C209" s="3">
        <v>0</v>
      </c>
    </row>
    <row r="210" spans="1:3" hidden="1" x14ac:dyDescent="0.35">
      <c r="A210" s="2">
        <v>209</v>
      </c>
      <c r="B210" t="s">
        <v>211</v>
      </c>
      <c r="C210" s="3">
        <v>0</v>
      </c>
    </row>
    <row r="211" spans="1:3" hidden="1" x14ac:dyDescent="0.35">
      <c r="A211" s="2">
        <v>210</v>
      </c>
      <c r="B211" t="s">
        <v>212</v>
      </c>
      <c r="C211" s="3">
        <v>0</v>
      </c>
    </row>
    <row r="212" spans="1:3" hidden="1" x14ac:dyDescent="0.35">
      <c r="A212" s="2">
        <v>211</v>
      </c>
      <c r="B212" t="s">
        <v>213</v>
      </c>
      <c r="C212" s="3">
        <v>0</v>
      </c>
    </row>
    <row r="213" spans="1:3" hidden="1" x14ac:dyDescent="0.35">
      <c r="A213" s="2">
        <v>212</v>
      </c>
      <c r="B213" t="s">
        <v>214</v>
      </c>
      <c r="C213" s="3">
        <v>1</v>
      </c>
    </row>
    <row r="214" spans="1:3" hidden="1" x14ac:dyDescent="0.35">
      <c r="A214" s="2">
        <v>213</v>
      </c>
      <c r="B214" t="s">
        <v>215</v>
      </c>
      <c r="C214" s="3">
        <v>0.154</v>
      </c>
    </row>
    <row r="215" spans="1:3" hidden="1" x14ac:dyDescent="0.35">
      <c r="A215" s="2">
        <v>214</v>
      </c>
      <c r="B215" t="s">
        <v>216</v>
      </c>
      <c r="C215" s="3">
        <v>0</v>
      </c>
    </row>
    <row r="216" spans="1:3" hidden="1" x14ac:dyDescent="0.35">
      <c r="A216" s="2">
        <v>215</v>
      </c>
      <c r="B216" t="s">
        <v>217</v>
      </c>
      <c r="C216" s="3">
        <v>0.6</v>
      </c>
    </row>
    <row r="217" spans="1:3" hidden="1" x14ac:dyDescent="0.35">
      <c r="A217" s="2">
        <v>216</v>
      </c>
      <c r="B217" t="s">
        <v>218</v>
      </c>
      <c r="C217" s="3">
        <v>1</v>
      </c>
    </row>
    <row r="218" spans="1:3" hidden="1" x14ac:dyDescent="0.35">
      <c r="A218" s="2">
        <v>217</v>
      </c>
      <c r="B218" t="s">
        <v>219</v>
      </c>
      <c r="C218" s="3">
        <v>0.33300000000000002</v>
      </c>
    </row>
    <row r="219" spans="1:3" hidden="1" x14ac:dyDescent="0.35">
      <c r="A219" s="2">
        <v>218</v>
      </c>
      <c r="B219" t="s">
        <v>220</v>
      </c>
      <c r="C219" s="3">
        <v>0</v>
      </c>
    </row>
    <row r="220" spans="1:3" hidden="1" x14ac:dyDescent="0.35">
      <c r="A220" s="2">
        <v>219</v>
      </c>
      <c r="B220" t="s">
        <v>221</v>
      </c>
      <c r="C220" s="3">
        <v>0</v>
      </c>
    </row>
    <row r="221" spans="1:3" hidden="1" x14ac:dyDescent="0.35">
      <c r="A221" s="2">
        <v>220</v>
      </c>
      <c r="B221" t="s">
        <v>222</v>
      </c>
      <c r="C221" s="3">
        <v>0</v>
      </c>
    </row>
    <row r="222" spans="1:3" hidden="1" x14ac:dyDescent="0.35">
      <c r="A222" s="2">
        <v>221</v>
      </c>
      <c r="B222" t="s">
        <v>223</v>
      </c>
      <c r="C222" s="3">
        <v>0</v>
      </c>
    </row>
    <row r="223" spans="1:3" hidden="1" x14ac:dyDescent="0.35">
      <c r="A223" s="2">
        <v>222</v>
      </c>
      <c r="B223" t="s">
        <v>224</v>
      </c>
      <c r="C223" s="3">
        <v>0.5</v>
      </c>
    </row>
    <row r="224" spans="1:3" hidden="1" x14ac:dyDescent="0.35">
      <c r="A224" s="2">
        <v>223</v>
      </c>
      <c r="B224" t="s">
        <v>225</v>
      </c>
      <c r="C224" s="3">
        <v>0</v>
      </c>
    </row>
    <row r="225" spans="1:9" hidden="1" x14ac:dyDescent="0.35">
      <c r="A225" s="2">
        <v>224</v>
      </c>
      <c r="B225" t="s">
        <v>226</v>
      </c>
      <c r="C225" s="3">
        <v>0</v>
      </c>
    </row>
    <row r="226" spans="1:9" x14ac:dyDescent="0.35">
      <c r="A226" s="2">
        <v>225</v>
      </c>
      <c r="B226" t="s">
        <v>227</v>
      </c>
      <c r="C226" s="3">
        <v>0.6</v>
      </c>
      <c r="D226">
        <v>6</v>
      </c>
      <c r="E226">
        <v>5</v>
      </c>
      <c r="F226" s="3">
        <f>E226/D226</f>
        <v>0.83333333333333337</v>
      </c>
      <c r="G226" s="4">
        <f>F226/2</f>
        <v>0.41666666666666669</v>
      </c>
      <c r="H226" s="4">
        <f>(C226+G226)/2</f>
        <v>0.5083333333333333</v>
      </c>
      <c r="I226" s="3"/>
    </row>
    <row r="227" spans="1:9" hidden="1" x14ac:dyDescent="0.35">
      <c r="A227" s="2">
        <v>226</v>
      </c>
      <c r="B227" t="s">
        <v>228</v>
      </c>
      <c r="C227" s="3">
        <v>0</v>
      </c>
    </row>
    <row r="228" spans="1:9" x14ac:dyDescent="0.35">
      <c r="A228" s="2">
        <v>227</v>
      </c>
      <c r="B228" t="s">
        <v>229</v>
      </c>
      <c r="C228" s="3">
        <v>0.4</v>
      </c>
      <c r="D228">
        <v>44</v>
      </c>
      <c r="E228">
        <v>32</v>
      </c>
      <c r="F228" s="3">
        <f>E228/D228</f>
        <v>0.72727272727272729</v>
      </c>
      <c r="G228" s="4">
        <f>F228/2</f>
        <v>0.36363636363636365</v>
      </c>
      <c r="H228" s="4">
        <f>(C228+G228)/2</f>
        <v>0.38181818181818183</v>
      </c>
      <c r="I228" s="3"/>
    </row>
    <row r="229" spans="1:9" hidden="1" x14ac:dyDescent="0.35">
      <c r="A229" s="2">
        <v>228</v>
      </c>
      <c r="B229" t="s">
        <v>230</v>
      </c>
      <c r="C229" s="3">
        <v>0.5</v>
      </c>
    </row>
    <row r="230" spans="1:9" hidden="1" x14ac:dyDescent="0.35">
      <c r="A230" s="2">
        <v>229</v>
      </c>
      <c r="B230" t="s">
        <v>231</v>
      </c>
      <c r="C230" s="3">
        <v>0</v>
      </c>
    </row>
    <row r="231" spans="1:9" hidden="1" x14ac:dyDescent="0.35">
      <c r="A231" s="2">
        <v>230</v>
      </c>
      <c r="B231" t="s">
        <v>232</v>
      </c>
      <c r="C231" s="3">
        <v>0.16700000000000001</v>
      </c>
    </row>
    <row r="232" spans="1:9" hidden="1" x14ac:dyDescent="0.35">
      <c r="A232" s="2">
        <v>231</v>
      </c>
      <c r="B232" t="s">
        <v>233</v>
      </c>
      <c r="C232" s="3">
        <v>0.33300000000000002</v>
      </c>
    </row>
    <row r="233" spans="1:9" hidden="1" x14ac:dyDescent="0.35">
      <c r="A233" s="2">
        <v>232</v>
      </c>
      <c r="B233" t="s">
        <v>234</v>
      </c>
      <c r="C233" s="3">
        <v>0.33300000000000002</v>
      </c>
    </row>
    <row r="234" spans="1:9" hidden="1" x14ac:dyDescent="0.35">
      <c r="A234" s="2">
        <v>233</v>
      </c>
      <c r="B234" t="s">
        <v>235</v>
      </c>
      <c r="C234" s="3">
        <v>0.26700000000000002</v>
      </c>
    </row>
    <row r="235" spans="1:9" x14ac:dyDescent="0.35">
      <c r="A235" s="2">
        <v>234</v>
      </c>
      <c r="B235" t="s">
        <v>236</v>
      </c>
      <c r="C235" s="3">
        <v>0</v>
      </c>
      <c r="D235">
        <v>259</v>
      </c>
      <c r="E235">
        <v>24</v>
      </c>
      <c r="F235" s="3">
        <f>E235/D235</f>
        <v>9.2664092664092659E-2</v>
      </c>
      <c r="G235" s="4">
        <f>F235/2</f>
        <v>4.633204633204633E-2</v>
      </c>
      <c r="H235" s="4">
        <f>(C235+G235)/2</f>
        <v>2.3166023166023165E-2</v>
      </c>
      <c r="I235" s="3"/>
    </row>
    <row r="236" spans="1:9" hidden="1" x14ac:dyDescent="0.35">
      <c r="A236" s="2">
        <v>235</v>
      </c>
      <c r="B236" t="s">
        <v>237</v>
      </c>
      <c r="C236" s="3">
        <v>0.5</v>
      </c>
    </row>
    <row r="237" spans="1:9" hidden="1" x14ac:dyDescent="0.35">
      <c r="A237" s="2">
        <v>236</v>
      </c>
      <c r="B237" t="s">
        <v>238</v>
      </c>
      <c r="C237" s="3">
        <v>0</v>
      </c>
    </row>
    <row r="238" spans="1:9" x14ac:dyDescent="0.35">
      <c r="A238" s="2">
        <v>237</v>
      </c>
      <c r="B238" t="s">
        <v>239</v>
      </c>
      <c r="C238" s="3">
        <v>0</v>
      </c>
      <c r="D238">
        <v>81</v>
      </c>
      <c r="E238">
        <v>14</v>
      </c>
      <c r="F238" s="3">
        <f>E238/D238</f>
        <v>0.1728395061728395</v>
      </c>
      <c r="G238" s="4">
        <f>F238/2</f>
        <v>8.6419753086419748E-2</v>
      </c>
      <c r="H238" s="4">
        <f>(C238+G238)/2</f>
        <v>4.3209876543209874E-2</v>
      </c>
      <c r="I238" s="3"/>
    </row>
    <row r="239" spans="1:9" x14ac:dyDescent="0.35">
      <c r="A239" s="2">
        <v>238</v>
      </c>
      <c r="B239" t="s">
        <v>240</v>
      </c>
      <c r="C239" s="3">
        <v>6.3E-2</v>
      </c>
      <c r="D239">
        <v>35</v>
      </c>
      <c r="E239">
        <v>22</v>
      </c>
      <c r="F239" s="3">
        <f>E239/D239</f>
        <v>0.62857142857142856</v>
      </c>
      <c r="G239" s="4">
        <f>F239/2</f>
        <v>0.31428571428571428</v>
      </c>
      <c r="H239" s="4">
        <f>(C239+G239)/2</f>
        <v>0.18864285714285714</v>
      </c>
      <c r="I239" s="3"/>
    </row>
    <row r="240" spans="1:9" hidden="1" x14ac:dyDescent="0.35">
      <c r="A240" s="2">
        <v>239</v>
      </c>
      <c r="B240" t="s">
        <v>241</v>
      </c>
      <c r="C240" s="3">
        <v>0</v>
      </c>
    </row>
    <row r="241" spans="1:3" hidden="1" x14ac:dyDescent="0.35">
      <c r="A241" s="2">
        <v>240</v>
      </c>
      <c r="B241" t="s">
        <v>242</v>
      </c>
      <c r="C241" s="3">
        <v>0.33300000000000002</v>
      </c>
    </row>
    <row r="242" spans="1:3" hidden="1" x14ac:dyDescent="0.35">
      <c r="A242" s="2">
        <v>241</v>
      </c>
      <c r="B242" t="s">
        <v>243</v>
      </c>
      <c r="C242" s="3">
        <v>0.214</v>
      </c>
    </row>
    <row r="243" spans="1:3" hidden="1" x14ac:dyDescent="0.35">
      <c r="A243" s="2">
        <v>242</v>
      </c>
      <c r="B243" t="s">
        <v>244</v>
      </c>
      <c r="C243" s="3">
        <v>0.25</v>
      </c>
    </row>
    <row r="244" spans="1:3" hidden="1" x14ac:dyDescent="0.35">
      <c r="A244" s="2">
        <v>243</v>
      </c>
      <c r="B244" t="s">
        <v>245</v>
      </c>
      <c r="C244" s="3">
        <v>0</v>
      </c>
    </row>
    <row r="245" spans="1:3" hidden="1" x14ac:dyDescent="0.35">
      <c r="A245" s="2">
        <v>244</v>
      </c>
      <c r="B245" t="s">
        <v>246</v>
      </c>
      <c r="C245" s="3">
        <v>0</v>
      </c>
    </row>
    <row r="246" spans="1:3" hidden="1" x14ac:dyDescent="0.35">
      <c r="A246" s="2">
        <v>245</v>
      </c>
      <c r="B246" t="s">
        <v>247</v>
      </c>
      <c r="C246" s="3">
        <v>0</v>
      </c>
    </row>
    <row r="247" spans="1:3" hidden="1" x14ac:dyDescent="0.35">
      <c r="A247" s="2">
        <v>246</v>
      </c>
      <c r="B247" t="s">
        <v>248</v>
      </c>
      <c r="C247" s="3">
        <v>0</v>
      </c>
    </row>
    <row r="248" spans="1:3" hidden="1" x14ac:dyDescent="0.35">
      <c r="A248" s="2">
        <v>247</v>
      </c>
      <c r="B248" t="s">
        <v>249</v>
      </c>
      <c r="C248" s="3">
        <v>0</v>
      </c>
    </row>
    <row r="249" spans="1:3" hidden="1" x14ac:dyDescent="0.35">
      <c r="A249" s="2">
        <v>248</v>
      </c>
      <c r="B249" t="s">
        <v>250</v>
      </c>
      <c r="C249" s="3">
        <v>0</v>
      </c>
    </row>
    <row r="250" spans="1:3" hidden="1" x14ac:dyDescent="0.35">
      <c r="A250" s="2">
        <v>249</v>
      </c>
      <c r="B250" t="s">
        <v>251</v>
      </c>
      <c r="C250" s="3">
        <v>0</v>
      </c>
    </row>
    <row r="251" spans="1:3" hidden="1" x14ac:dyDescent="0.35">
      <c r="A251" s="2">
        <v>250</v>
      </c>
      <c r="B251" t="s">
        <v>252</v>
      </c>
      <c r="C251" s="3">
        <v>0</v>
      </c>
    </row>
    <row r="252" spans="1:3" hidden="1" x14ac:dyDescent="0.35">
      <c r="A252" s="2">
        <v>251</v>
      </c>
      <c r="B252" t="s">
        <v>253</v>
      </c>
      <c r="C252" s="3">
        <v>0.2</v>
      </c>
    </row>
    <row r="253" spans="1:3" hidden="1" x14ac:dyDescent="0.35">
      <c r="A253" s="2">
        <v>252</v>
      </c>
      <c r="B253" t="s">
        <v>254</v>
      </c>
      <c r="C253" s="3">
        <v>0.33300000000000002</v>
      </c>
    </row>
    <row r="254" spans="1:3" hidden="1" x14ac:dyDescent="0.35">
      <c r="A254" s="2">
        <v>253</v>
      </c>
      <c r="B254" t="s">
        <v>255</v>
      </c>
      <c r="C254" s="3">
        <v>0.25</v>
      </c>
    </row>
    <row r="255" spans="1:3" hidden="1" x14ac:dyDescent="0.35">
      <c r="A255" s="2">
        <v>254</v>
      </c>
      <c r="B255" t="s">
        <v>256</v>
      </c>
      <c r="C255" s="3">
        <v>0</v>
      </c>
    </row>
    <row r="256" spans="1:3" hidden="1" x14ac:dyDescent="0.35">
      <c r="A256" s="2">
        <v>255</v>
      </c>
      <c r="B256" t="s">
        <v>257</v>
      </c>
      <c r="C256" s="3">
        <v>0</v>
      </c>
    </row>
    <row r="257" spans="1:9" hidden="1" x14ac:dyDescent="0.35">
      <c r="A257" s="2">
        <v>256</v>
      </c>
      <c r="B257" t="s">
        <v>258</v>
      </c>
      <c r="C257" s="3">
        <v>0</v>
      </c>
    </row>
    <row r="258" spans="1:9" hidden="1" x14ac:dyDescent="0.35">
      <c r="A258" s="2">
        <v>257</v>
      </c>
      <c r="B258" t="s">
        <v>259</v>
      </c>
      <c r="C258" s="3">
        <v>0.33300000000000002</v>
      </c>
    </row>
    <row r="259" spans="1:9" hidden="1" x14ac:dyDescent="0.35">
      <c r="A259" s="2">
        <v>258</v>
      </c>
      <c r="B259" t="s">
        <v>260</v>
      </c>
      <c r="C259" s="3">
        <v>0</v>
      </c>
    </row>
    <row r="260" spans="1:9" hidden="1" x14ac:dyDescent="0.35">
      <c r="A260" s="2">
        <v>259</v>
      </c>
      <c r="B260" t="s">
        <v>261</v>
      </c>
      <c r="C260" s="3">
        <v>0</v>
      </c>
    </row>
    <row r="261" spans="1:9" hidden="1" x14ac:dyDescent="0.35">
      <c r="A261" s="2">
        <v>260</v>
      </c>
      <c r="B261" t="s">
        <v>262</v>
      </c>
      <c r="C261" s="3">
        <v>1</v>
      </c>
    </row>
    <row r="262" spans="1:9" hidden="1" x14ac:dyDescent="0.35">
      <c r="A262" s="2">
        <v>261</v>
      </c>
      <c r="B262" t="s">
        <v>263</v>
      </c>
      <c r="C262" s="3">
        <v>0</v>
      </c>
    </row>
    <row r="263" spans="1:9" hidden="1" x14ac:dyDescent="0.35">
      <c r="A263" s="2">
        <v>262</v>
      </c>
      <c r="B263" t="s">
        <v>264</v>
      </c>
      <c r="C263" s="3">
        <v>0.33300000000000002</v>
      </c>
    </row>
    <row r="264" spans="1:9" hidden="1" x14ac:dyDescent="0.35">
      <c r="A264" s="2">
        <v>263</v>
      </c>
      <c r="B264" t="s">
        <v>265</v>
      </c>
      <c r="C264" s="3">
        <v>0.222</v>
      </c>
    </row>
    <row r="265" spans="1:9" hidden="1" x14ac:dyDescent="0.35">
      <c r="A265" s="2">
        <v>264</v>
      </c>
      <c r="B265" t="s">
        <v>266</v>
      </c>
      <c r="C265" s="3">
        <v>0.25</v>
      </c>
    </row>
    <row r="266" spans="1:9" hidden="1" x14ac:dyDescent="0.35">
      <c r="A266" s="2">
        <v>265</v>
      </c>
      <c r="B266" t="s">
        <v>267</v>
      </c>
      <c r="C266" s="3">
        <v>1</v>
      </c>
    </row>
    <row r="267" spans="1:9" hidden="1" x14ac:dyDescent="0.35">
      <c r="A267" s="2">
        <v>266</v>
      </c>
      <c r="B267" t="s">
        <v>268</v>
      </c>
      <c r="C267" s="3">
        <v>0</v>
      </c>
    </row>
    <row r="268" spans="1:9" hidden="1" x14ac:dyDescent="0.35">
      <c r="A268" s="2">
        <v>267</v>
      </c>
      <c r="B268" t="s">
        <v>269</v>
      </c>
      <c r="C268" s="3">
        <v>0</v>
      </c>
    </row>
    <row r="269" spans="1:9" hidden="1" x14ac:dyDescent="0.35">
      <c r="A269" s="2">
        <v>268</v>
      </c>
      <c r="B269" t="s">
        <v>270</v>
      </c>
      <c r="C269" s="3">
        <v>0</v>
      </c>
    </row>
    <row r="270" spans="1:9" x14ac:dyDescent="0.35">
      <c r="A270" s="2">
        <v>269</v>
      </c>
      <c r="B270" t="s">
        <v>271</v>
      </c>
      <c r="C270" s="3">
        <v>0</v>
      </c>
      <c r="D270">
        <v>22</v>
      </c>
      <c r="E270">
        <v>17</v>
      </c>
      <c r="F270" s="3">
        <f>E270/D270</f>
        <v>0.77272727272727271</v>
      </c>
      <c r="G270" s="4">
        <f>F270/2</f>
        <v>0.38636363636363635</v>
      </c>
      <c r="H270" s="4">
        <f>(C270+G270)/2</f>
        <v>0.19318181818181818</v>
      </c>
      <c r="I270" s="3"/>
    </row>
    <row r="271" spans="1:9" hidden="1" x14ac:dyDescent="0.35">
      <c r="A271" s="2">
        <v>270</v>
      </c>
      <c r="B271" t="s">
        <v>272</v>
      </c>
      <c r="C271" s="3">
        <v>0</v>
      </c>
    </row>
    <row r="272" spans="1:9" hidden="1" x14ac:dyDescent="0.35">
      <c r="A272" s="2">
        <v>271</v>
      </c>
      <c r="B272" t="s">
        <v>273</v>
      </c>
      <c r="C272" s="3">
        <v>0</v>
      </c>
    </row>
    <row r="273" spans="1:9" hidden="1" x14ac:dyDescent="0.35">
      <c r="A273" s="2">
        <v>272</v>
      </c>
      <c r="B273" t="s">
        <v>274</v>
      </c>
      <c r="C273" s="3">
        <v>1</v>
      </c>
    </row>
    <row r="274" spans="1:9" hidden="1" x14ac:dyDescent="0.35">
      <c r="A274" s="2">
        <v>273</v>
      </c>
      <c r="B274" t="s">
        <v>275</v>
      </c>
      <c r="C274" s="3">
        <v>1</v>
      </c>
    </row>
    <row r="275" spans="1:9" hidden="1" x14ac:dyDescent="0.35">
      <c r="A275" s="2">
        <v>274</v>
      </c>
      <c r="B275" t="s">
        <v>276</v>
      </c>
      <c r="C275" s="3">
        <v>0</v>
      </c>
    </row>
    <row r="276" spans="1:9" hidden="1" x14ac:dyDescent="0.35">
      <c r="A276" s="2">
        <v>275</v>
      </c>
      <c r="B276" t="s">
        <v>277</v>
      </c>
      <c r="C276" s="3">
        <v>0.5</v>
      </c>
    </row>
    <row r="277" spans="1:9" hidden="1" x14ac:dyDescent="0.35">
      <c r="A277" s="2">
        <v>276</v>
      </c>
      <c r="B277" t="s">
        <v>278</v>
      </c>
      <c r="C277" s="3">
        <v>0.5</v>
      </c>
    </row>
    <row r="278" spans="1:9" hidden="1" x14ac:dyDescent="0.35">
      <c r="A278" s="2">
        <v>277</v>
      </c>
      <c r="B278" t="s">
        <v>279</v>
      </c>
      <c r="C278" s="3">
        <v>0</v>
      </c>
    </row>
    <row r="279" spans="1:9" hidden="1" x14ac:dyDescent="0.35">
      <c r="A279" s="2">
        <v>278</v>
      </c>
      <c r="B279" t="s">
        <v>280</v>
      </c>
      <c r="C279" s="3">
        <v>0</v>
      </c>
    </row>
    <row r="280" spans="1:9" hidden="1" x14ac:dyDescent="0.35">
      <c r="A280" s="2">
        <v>279</v>
      </c>
      <c r="B280" t="s">
        <v>281</v>
      </c>
      <c r="C280" s="3">
        <v>0</v>
      </c>
    </row>
    <row r="281" spans="1:9" hidden="1" x14ac:dyDescent="0.35">
      <c r="A281" s="2">
        <v>280</v>
      </c>
      <c r="B281" t="s">
        <v>282</v>
      </c>
      <c r="C281" s="3">
        <v>0</v>
      </c>
    </row>
    <row r="282" spans="1:9" hidden="1" x14ac:dyDescent="0.35">
      <c r="A282" s="2">
        <v>281</v>
      </c>
      <c r="B282" t="s">
        <v>283</v>
      </c>
      <c r="C282" s="3">
        <v>0</v>
      </c>
    </row>
    <row r="283" spans="1:9" hidden="1" x14ac:dyDescent="0.35">
      <c r="A283" s="2">
        <v>282</v>
      </c>
      <c r="B283" t="s">
        <v>284</v>
      </c>
      <c r="C283" s="3">
        <v>0</v>
      </c>
    </row>
    <row r="284" spans="1:9" hidden="1" x14ac:dyDescent="0.35">
      <c r="A284" s="2">
        <v>283</v>
      </c>
      <c r="B284" t="s">
        <v>285</v>
      </c>
      <c r="C284" s="3">
        <v>0</v>
      </c>
    </row>
    <row r="285" spans="1:9" x14ac:dyDescent="0.35">
      <c r="A285" s="2">
        <v>284</v>
      </c>
      <c r="B285" t="s">
        <v>286</v>
      </c>
      <c r="C285" s="3">
        <v>0.2</v>
      </c>
      <c r="D285">
        <v>6</v>
      </c>
      <c r="E285">
        <v>5</v>
      </c>
      <c r="F285" s="3">
        <f>E285/D285</f>
        <v>0.83333333333333337</v>
      </c>
      <c r="G285" s="4">
        <f>F285/2</f>
        <v>0.41666666666666669</v>
      </c>
      <c r="H285" s="4">
        <f>(C285+G285)/2</f>
        <v>0.30833333333333335</v>
      </c>
      <c r="I285" s="3"/>
    </row>
    <row r="286" spans="1:9" hidden="1" x14ac:dyDescent="0.35">
      <c r="A286" s="2">
        <v>285</v>
      </c>
      <c r="B286" t="s">
        <v>287</v>
      </c>
      <c r="C286" s="3">
        <v>0.46200000000000002</v>
      </c>
    </row>
    <row r="287" spans="1:9" hidden="1" x14ac:dyDescent="0.35">
      <c r="A287" s="2">
        <v>286</v>
      </c>
      <c r="B287" t="s">
        <v>288</v>
      </c>
      <c r="C287" s="3">
        <v>0.188</v>
      </c>
    </row>
    <row r="288" spans="1:9" hidden="1" x14ac:dyDescent="0.35">
      <c r="A288" s="2">
        <v>287</v>
      </c>
      <c r="B288" t="s">
        <v>289</v>
      </c>
      <c r="C288" s="3">
        <v>0</v>
      </c>
    </row>
    <row r="289" spans="1:3" hidden="1" x14ac:dyDescent="0.35">
      <c r="A289" s="2">
        <v>288</v>
      </c>
      <c r="B289" t="s">
        <v>290</v>
      </c>
      <c r="C289" s="3">
        <v>0</v>
      </c>
    </row>
    <row r="290" spans="1:3" hidden="1" x14ac:dyDescent="0.35">
      <c r="A290" s="2">
        <v>289</v>
      </c>
      <c r="B290" t="s">
        <v>291</v>
      </c>
      <c r="C290" s="3">
        <v>0</v>
      </c>
    </row>
  </sheetData>
  <autoFilter ref="A1:C290" xr:uid="{00000000-0001-0000-0000-000000000000}">
    <filterColumn colId="1">
      <filters>
        <filter val="Badan Pemeriksa Keuangan (Wbk Mandiri)"/>
        <filter val="Badan Pengawas Obat Dan Makanan (Wbk Mandiri)"/>
        <filter val="Badan Pusat Statistik (Wbk Mandiri)"/>
        <filter val="Kejaksaan Agung RI (Wbk Mandiri)"/>
        <filter val="Kementerian Hukum Dan Hak Asasi Manusia RI (Wbk Mandiri)"/>
        <filter val="Kementerian Keuangan (Wbk Mandiri)"/>
        <filter val="Kepolisian Negara Republik Indonesia (Wbk Mandiri)"/>
        <filter val="Mahkamah Agung (Wbk Mandiri)"/>
        <filter val="Tentara Nasional Indonesia (Wbk Mandiri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60A3-18C6-48C9-B827-F528CF4178B4}">
  <sheetPr codeName="Sheet2"/>
  <dimension ref="A1:E290"/>
  <sheetViews>
    <sheetView topLeftCell="A214" workbookViewId="0">
      <selection activeCell="D226" sqref="D226"/>
    </sheetView>
  </sheetViews>
  <sheetFormatPr defaultRowHeight="12.5" x14ac:dyDescent="0.25"/>
  <cols>
    <col min="1" max="1" width="6" style="30" customWidth="1"/>
    <col min="2" max="2" width="54" style="30" customWidth="1"/>
    <col min="3" max="3" width="6.7265625" style="30" customWidth="1"/>
    <col min="4" max="4" width="7.90625" style="30" bestFit="1" customWidth="1"/>
    <col min="5" max="16384" width="8.7265625" style="30"/>
  </cols>
  <sheetData>
    <row r="1" spans="1:4" x14ac:dyDescent="0.25">
      <c r="A1" s="31" t="s">
        <v>0</v>
      </c>
      <c r="B1" s="31" t="s">
        <v>1</v>
      </c>
      <c r="C1" s="31" t="s">
        <v>706</v>
      </c>
      <c r="D1" s="31" t="s">
        <v>707</v>
      </c>
    </row>
    <row r="2" spans="1:4" x14ac:dyDescent="0.25">
      <c r="A2" s="32">
        <v>1</v>
      </c>
      <c r="B2" s="30" t="s">
        <v>3</v>
      </c>
      <c r="C2" s="32">
        <v>1</v>
      </c>
      <c r="D2" s="32">
        <v>0</v>
      </c>
    </row>
    <row r="3" spans="1:4" x14ac:dyDescent="0.25">
      <c r="A3" s="32">
        <v>2</v>
      </c>
      <c r="B3" s="30" t="s">
        <v>4</v>
      </c>
      <c r="C3" s="32">
        <v>1</v>
      </c>
      <c r="D3" s="32">
        <v>0</v>
      </c>
    </row>
    <row r="4" spans="1:4" x14ac:dyDescent="0.25">
      <c r="A4" s="32">
        <v>3</v>
      </c>
      <c r="B4" s="30" t="s">
        <v>5</v>
      </c>
      <c r="C4" s="32">
        <v>5</v>
      </c>
      <c r="D4" s="32">
        <v>0</v>
      </c>
    </row>
    <row r="5" spans="1:4" x14ac:dyDescent="0.25">
      <c r="A5" s="32">
        <v>4</v>
      </c>
      <c r="B5" s="30" t="s">
        <v>6</v>
      </c>
      <c r="C5" s="32">
        <v>5</v>
      </c>
      <c r="D5" s="32">
        <v>1</v>
      </c>
    </row>
    <row r="6" spans="1:4" x14ac:dyDescent="0.25">
      <c r="A6" s="32">
        <v>5</v>
      </c>
      <c r="B6" s="30" t="s">
        <v>7</v>
      </c>
      <c r="C6" s="32">
        <v>5</v>
      </c>
      <c r="D6" s="32">
        <v>0</v>
      </c>
    </row>
    <row r="7" spans="1:4" x14ac:dyDescent="0.25">
      <c r="A7" s="32">
        <v>6</v>
      </c>
      <c r="B7" s="30" t="s">
        <v>8</v>
      </c>
      <c r="C7" s="32">
        <v>3</v>
      </c>
      <c r="D7" s="32">
        <v>1</v>
      </c>
    </row>
    <row r="8" spans="1:4" x14ac:dyDescent="0.25">
      <c r="A8" s="32">
        <v>7</v>
      </c>
      <c r="B8" s="30" t="s">
        <v>9</v>
      </c>
      <c r="C8" s="32">
        <v>4</v>
      </c>
      <c r="D8" s="32">
        <v>0</v>
      </c>
    </row>
    <row r="9" spans="1:4" x14ac:dyDescent="0.25">
      <c r="A9" s="32">
        <v>8</v>
      </c>
      <c r="B9" s="30" t="s">
        <v>10</v>
      </c>
      <c r="C9" s="32">
        <v>4</v>
      </c>
      <c r="D9" s="32">
        <v>0</v>
      </c>
    </row>
    <row r="10" spans="1:4" x14ac:dyDescent="0.25">
      <c r="A10" s="32">
        <v>9</v>
      </c>
      <c r="B10" s="30" t="s">
        <v>11</v>
      </c>
      <c r="C10" s="32">
        <v>3</v>
      </c>
      <c r="D10" s="32">
        <v>0</v>
      </c>
    </row>
    <row r="11" spans="1:4" x14ac:dyDescent="0.25">
      <c r="A11" s="32">
        <v>10</v>
      </c>
      <c r="B11" s="30" t="s">
        <v>12</v>
      </c>
      <c r="C11" s="32">
        <v>7</v>
      </c>
      <c r="D11" s="32">
        <v>0</v>
      </c>
    </row>
    <row r="12" spans="1:4" x14ac:dyDescent="0.25">
      <c r="A12" s="32">
        <v>11</v>
      </c>
      <c r="B12" s="30" t="s">
        <v>13</v>
      </c>
      <c r="C12" s="32">
        <v>6</v>
      </c>
      <c r="D12" s="32">
        <v>1</v>
      </c>
    </row>
    <row r="13" spans="1:4" x14ac:dyDescent="0.25">
      <c r="A13" s="32">
        <v>12</v>
      </c>
      <c r="B13" s="30" t="s">
        <v>14</v>
      </c>
      <c r="C13" s="32">
        <v>4</v>
      </c>
      <c r="D13" s="32">
        <v>0</v>
      </c>
    </row>
    <row r="14" spans="1:4" x14ac:dyDescent="0.25">
      <c r="A14" s="32">
        <v>13</v>
      </c>
      <c r="B14" s="30" t="s">
        <v>15</v>
      </c>
      <c r="C14" s="32">
        <v>5</v>
      </c>
      <c r="D14" s="32">
        <v>0</v>
      </c>
    </row>
    <row r="15" spans="1:4" x14ac:dyDescent="0.25">
      <c r="A15" s="32">
        <v>14</v>
      </c>
      <c r="B15" s="30" t="s">
        <v>16</v>
      </c>
      <c r="C15" s="32">
        <v>7</v>
      </c>
      <c r="D15" s="32">
        <v>2</v>
      </c>
    </row>
    <row r="16" spans="1:4" x14ac:dyDescent="0.25">
      <c r="A16" s="32">
        <v>15</v>
      </c>
      <c r="B16" s="30" t="s">
        <v>17</v>
      </c>
      <c r="C16" s="32">
        <v>13</v>
      </c>
      <c r="D16" s="32">
        <v>1</v>
      </c>
    </row>
    <row r="17" spans="1:4" x14ac:dyDescent="0.25">
      <c r="A17" s="32">
        <v>16</v>
      </c>
      <c r="B17" s="30" t="s">
        <v>18</v>
      </c>
      <c r="C17" s="32">
        <v>4</v>
      </c>
      <c r="D17" s="32">
        <v>1</v>
      </c>
    </row>
    <row r="18" spans="1:4" x14ac:dyDescent="0.25">
      <c r="A18" s="32">
        <v>17</v>
      </c>
      <c r="B18" s="30" t="s">
        <v>19</v>
      </c>
      <c r="C18" s="32">
        <v>5</v>
      </c>
      <c r="D18" s="32">
        <v>2</v>
      </c>
    </row>
    <row r="19" spans="1:4" x14ac:dyDescent="0.25">
      <c r="A19" s="32">
        <v>18</v>
      </c>
      <c r="B19" s="30" t="s">
        <v>20</v>
      </c>
      <c r="C19" s="32">
        <v>4</v>
      </c>
      <c r="D19" s="32">
        <v>0</v>
      </c>
    </row>
    <row r="20" spans="1:4" x14ac:dyDescent="0.25">
      <c r="A20" s="32">
        <v>19</v>
      </c>
      <c r="B20" s="30" t="s">
        <v>21</v>
      </c>
      <c r="C20" s="32">
        <v>1</v>
      </c>
      <c r="D20" s="32">
        <v>0</v>
      </c>
    </row>
    <row r="21" spans="1:4" x14ac:dyDescent="0.25">
      <c r="A21" s="32">
        <v>20</v>
      </c>
      <c r="B21" s="30" t="s">
        <v>22</v>
      </c>
      <c r="C21" s="32">
        <v>3</v>
      </c>
      <c r="D21" s="32">
        <v>0</v>
      </c>
    </row>
    <row r="22" spans="1:4" x14ac:dyDescent="0.25">
      <c r="A22" s="32">
        <v>21</v>
      </c>
      <c r="B22" s="30" t="s">
        <v>23</v>
      </c>
      <c r="C22" s="32">
        <v>4</v>
      </c>
      <c r="D22" s="32">
        <v>2</v>
      </c>
    </row>
    <row r="23" spans="1:4" x14ac:dyDescent="0.25">
      <c r="A23" s="32">
        <v>22</v>
      </c>
      <c r="B23" s="30" t="s">
        <v>24</v>
      </c>
      <c r="C23" s="32">
        <v>2</v>
      </c>
      <c r="D23" s="32">
        <v>0</v>
      </c>
    </row>
    <row r="24" spans="1:4" x14ac:dyDescent="0.25">
      <c r="A24" s="32">
        <v>23</v>
      </c>
      <c r="B24" s="30" t="s">
        <v>25</v>
      </c>
      <c r="C24" s="32">
        <v>2</v>
      </c>
      <c r="D24" s="32">
        <v>0</v>
      </c>
    </row>
    <row r="25" spans="1:4" x14ac:dyDescent="0.25">
      <c r="A25" s="32">
        <v>24</v>
      </c>
      <c r="B25" s="30" t="s">
        <v>26</v>
      </c>
      <c r="C25" s="32">
        <v>4</v>
      </c>
      <c r="D25" s="32">
        <v>0</v>
      </c>
    </row>
    <row r="26" spans="1:4" x14ac:dyDescent="0.25">
      <c r="A26" s="32">
        <v>25</v>
      </c>
      <c r="B26" s="30" t="s">
        <v>27</v>
      </c>
      <c r="C26" s="32">
        <v>2</v>
      </c>
      <c r="D26" s="32">
        <v>1</v>
      </c>
    </row>
    <row r="27" spans="1:4" x14ac:dyDescent="0.25">
      <c r="A27" s="32">
        <v>26</v>
      </c>
      <c r="B27" s="30" t="s">
        <v>28</v>
      </c>
      <c r="C27" s="32">
        <v>4</v>
      </c>
      <c r="D27" s="32">
        <v>0</v>
      </c>
    </row>
    <row r="28" spans="1:4" x14ac:dyDescent="0.25">
      <c r="A28" s="32">
        <v>27</v>
      </c>
      <c r="B28" s="30" t="s">
        <v>29</v>
      </c>
      <c r="C28" s="32">
        <v>1</v>
      </c>
      <c r="D28" s="32">
        <v>1</v>
      </c>
    </row>
    <row r="29" spans="1:4" x14ac:dyDescent="0.25">
      <c r="A29" s="32">
        <v>28</v>
      </c>
      <c r="B29" s="30" t="s">
        <v>30</v>
      </c>
      <c r="C29" s="32">
        <v>5</v>
      </c>
      <c r="D29" s="32">
        <v>1</v>
      </c>
    </row>
    <row r="30" spans="1:4" x14ac:dyDescent="0.25">
      <c r="A30" s="32">
        <v>29</v>
      </c>
      <c r="B30" s="30" t="s">
        <v>31</v>
      </c>
      <c r="C30" s="32">
        <v>9</v>
      </c>
      <c r="D30" s="32">
        <v>0</v>
      </c>
    </row>
    <row r="31" spans="1:4" x14ac:dyDescent="0.25">
      <c r="A31" s="32">
        <v>30</v>
      </c>
      <c r="B31" s="30" t="s">
        <v>32</v>
      </c>
      <c r="C31" s="32">
        <v>3</v>
      </c>
      <c r="D31" s="32">
        <v>2</v>
      </c>
    </row>
    <row r="32" spans="1:4" x14ac:dyDescent="0.25">
      <c r="A32" s="32">
        <v>31</v>
      </c>
      <c r="B32" s="30" t="s">
        <v>33</v>
      </c>
      <c r="C32" s="32">
        <v>6</v>
      </c>
      <c r="D32" s="32">
        <v>0</v>
      </c>
    </row>
    <row r="33" spans="1:4" x14ac:dyDescent="0.25">
      <c r="A33" s="32">
        <v>32</v>
      </c>
      <c r="B33" s="30" t="s">
        <v>34</v>
      </c>
      <c r="C33" s="32">
        <v>5</v>
      </c>
      <c r="D33" s="32">
        <v>0</v>
      </c>
    </row>
    <row r="34" spans="1:4" x14ac:dyDescent="0.25">
      <c r="A34" s="32">
        <v>33</v>
      </c>
      <c r="B34" s="30" t="s">
        <v>35</v>
      </c>
      <c r="C34" s="32">
        <v>6</v>
      </c>
      <c r="D34" s="32">
        <v>0</v>
      </c>
    </row>
    <row r="35" spans="1:4" x14ac:dyDescent="0.25">
      <c r="A35" s="32">
        <v>34</v>
      </c>
      <c r="B35" s="30" t="s">
        <v>36</v>
      </c>
      <c r="C35" s="32">
        <v>4</v>
      </c>
      <c r="D35" s="32">
        <v>2</v>
      </c>
    </row>
    <row r="36" spans="1:4" x14ac:dyDescent="0.25">
      <c r="A36" s="32">
        <v>35</v>
      </c>
      <c r="B36" s="30" t="s">
        <v>37</v>
      </c>
      <c r="C36" s="32">
        <v>1</v>
      </c>
      <c r="D36" s="32">
        <v>0</v>
      </c>
    </row>
    <row r="37" spans="1:4" x14ac:dyDescent="0.25">
      <c r="A37" s="32">
        <v>36</v>
      </c>
      <c r="B37" s="30" t="s">
        <v>38</v>
      </c>
      <c r="C37" s="32">
        <v>4</v>
      </c>
      <c r="D37" s="32">
        <v>0</v>
      </c>
    </row>
    <row r="38" spans="1:4" x14ac:dyDescent="0.25">
      <c r="A38" s="32">
        <v>37</v>
      </c>
      <c r="B38" s="30" t="s">
        <v>39</v>
      </c>
      <c r="C38" s="32">
        <v>4</v>
      </c>
      <c r="D38" s="32">
        <v>1</v>
      </c>
    </row>
    <row r="39" spans="1:4" x14ac:dyDescent="0.25">
      <c r="A39" s="32">
        <v>38</v>
      </c>
      <c r="B39" s="30" t="s">
        <v>40</v>
      </c>
      <c r="C39" s="32">
        <v>8</v>
      </c>
      <c r="D39" s="32">
        <v>2</v>
      </c>
    </row>
    <row r="40" spans="1:4" x14ac:dyDescent="0.25">
      <c r="A40" s="32">
        <v>39</v>
      </c>
      <c r="B40" s="30" t="s">
        <v>41</v>
      </c>
      <c r="C40" s="32">
        <v>3</v>
      </c>
      <c r="D40" s="32">
        <v>0</v>
      </c>
    </row>
    <row r="41" spans="1:4" x14ac:dyDescent="0.25">
      <c r="A41" s="32">
        <v>40</v>
      </c>
      <c r="B41" s="30" t="s">
        <v>42</v>
      </c>
      <c r="C41" s="32">
        <v>3</v>
      </c>
      <c r="D41" s="32">
        <v>0</v>
      </c>
    </row>
    <row r="42" spans="1:4" x14ac:dyDescent="0.25">
      <c r="A42" s="32">
        <v>41</v>
      </c>
      <c r="B42" s="30" t="s">
        <v>43</v>
      </c>
      <c r="C42" s="32">
        <v>3</v>
      </c>
      <c r="D42" s="32">
        <v>0</v>
      </c>
    </row>
    <row r="43" spans="1:4" x14ac:dyDescent="0.25">
      <c r="A43" s="32">
        <v>42</v>
      </c>
      <c r="B43" s="30" t="s">
        <v>44</v>
      </c>
      <c r="C43" s="32">
        <v>3</v>
      </c>
      <c r="D43" s="32">
        <v>0</v>
      </c>
    </row>
    <row r="44" spans="1:4" x14ac:dyDescent="0.25">
      <c r="A44" s="32">
        <v>43</v>
      </c>
      <c r="B44" s="30" t="s">
        <v>45</v>
      </c>
      <c r="C44" s="32">
        <v>4</v>
      </c>
      <c r="D44" s="32">
        <v>0</v>
      </c>
    </row>
    <row r="45" spans="1:4" x14ac:dyDescent="0.25">
      <c r="A45" s="32">
        <v>44</v>
      </c>
      <c r="B45" s="30" t="s">
        <v>46</v>
      </c>
      <c r="C45" s="32">
        <v>6</v>
      </c>
      <c r="D45" s="32">
        <v>0</v>
      </c>
    </row>
    <row r="46" spans="1:4" x14ac:dyDescent="0.25">
      <c r="A46" s="32">
        <v>45</v>
      </c>
      <c r="B46" s="30" t="s">
        <v>47</v>
      </c>
      <c r="C46" s="32">
        <v>4</v>
      </c>
      <c r="D46" s="32">
        <v>2</v>
      </c>
    </row>
    <row r="47" spans="1:4" x14ac:dyDescent="0.25">
      <c r="A47" s="32">
        <v>46</v>
      </c>
      <c r="B47" s="30" t="s">
        <v>48</v>
      </c>
      <c r="C47" s="32">
        <v>3</v>
      </c>
      <c r="D47" s="32">
        <v>0</v>
      </c>
    </row>
    <row r="48" spans="1:4" x14ac:dyDescent="0.25">
      <c r="A48" s="32">
        <v>47</v>
      </c>
      <c r="B48" s="30" t="s">
        <v>49</v>
      </c>
      <c r="C48" s="32">
        <v>5</v>
      </c>
      <c r="D48" s="32">
        <v>0</v>
      </c>
    </row>
    <row r="49" spans="1:4" x14ac:dyDescent="0.25">
      <c r="A49" s="32">
        <v>48</v>
      </c>
      <c r="B49" s="30" t="s">
        <v>50</v>
      </c>
      <c r="C49" s="32">
        <v>4</v>
      </c>
      <c r="D49" s="32">
        <v>1</v>
      </c>
    </row>
    <row r="50" spans="1:4" x14ac:dyDescent="0.25">
      <c r="A50" s="32">
        <v>49</v>
      </c>
      <c r="B50" s="30" t="s">
        <v>51</v>
      </c>
      <c r="C50" s="32">
        <v>3</v>
      </c>
      <c r="D50" s="32">
        <v>1</v>
      </c>
    </row>
    <row r="51" spans="1:4" x14ac:dyDescent="0.25">
      <c r="A51" s="32">
        <v>50</v>
      </c>
      <c r="B51" s="30" t="s">
        <v>52</v>
      </c>
      <c r="C51" s="32">
        <v>5</v>
      </c>
      <c r="D51" s="32">
        <v>0</v>
      </c>
    </row>
    <row r="52" spans="1:4" x14ac:dyDescent="0.25">
      <c r="A52" s="32">
        <v>51</v>
      </c>
      <c r="B52" s="30" t="s">
        <v>53</v>
      </c>
      <c r="C52" s="32">
        <v>10</v>
      </c>
      <c r="D52" s="32">
        <v>0</v>
      </c>
    </row>
    <row r="53" spans="1:4" x14ac:dyDescent="0.25">
      <c r="A53" s="32">
        <v>52</v>
      </c>
      <c r="B53" s="30" t="s">
        <v>54</v>
      </c>
      <c r="C53" s="32">
        <v>3</v>
      </c>
      <c r="D53" s="32">
        <v>0</v>
      </c>
    </row>
    <row r="54" spans="1:4" x14ac:dyDescent="0.25">
      <c r="A54" s="32">
        <v>53</v>
      </c>
      <c r="B54" s="30" t="s">
        <v>55</v>
      </c>
      <c r="C54" s="32">
        <v>5</v>
      </c>
      <c r="D54" s="32">
        <v>0</v>
      </c>
    </row>
    <row r="55" spans="1:4" x14ac:dyDescent="0.25">
      <c r="A55" s="32">
        <v>54</v>
      </c>
      <c r="B55" s="30" t="s">
        <v>56</v>
      </c>
      <c r="C55" s="32">
        <v>1</v>
      </c>
      <c r="D55" s="32">
        <v>0</v>
      </c>
    </row>
    <row r="56" spans="1:4" x14ac:dyDescent="0.25">
      <c r="A56" s="32">
        <v>55</v>
      </c>
      <c r="B56" s="30" t="s">
        <v>57</v>
      </c>
      <c r="C56" s="32">
        <v>3</v>
      </c>
      <c r="D56" s="32">
        <v>0</v>
      </c>
    </row>
    <row r="57" spans="1:4" x14ac:dyDescent="0.25">
      <c r="A57" s="32">
        <v>56</v>
      </c>
      <c r="B57" s="30" t="s">
        <v>58</v>
      </c>
      <c r="C57" s="32">
        <v>1</v>
      </c>
      <c r="D57" s="32">
        <v>0</v>
      </c>
    </row>
    <row r="58" spans="1:4" x14ac:dyDescent="0.25">
      <c r="A58" s="32">
        <v>57</v>
      </c>
      <c r="B58" s="30" t="s">
        <v>59</v>
      </c>
      <c r="C58" s="32">
        <v>1</v>
      </c>
      <c r="D58" s="32">
        <v>0</v>
      </c>
    </row>
    <row r="59" spans="1:4" x14ac:dyDescent="0.25">
      <c r="A59" s="32">
        <v>58</v>
      </c>
      <c r="B59" s="30" t="s">
        <v>60</v>
      </c>
      <c r="C59" s="32">
        <v>2</v>
      </c>
      <c r="D59" s="32">
        <v>0</v>
      </c>
    </row>
    <row r="60" spans="1:4" x14ac:dyDescent="0.25">
      <c r="A60" s="32">
        <v>59</v>
      </c>
      <c r="B60" s="30" t="s">
        <v>61</v>
      </c>
      <c r="C60" s="32">
        <v>1</v>
      </c>
      <c r="D60" s="32">
        <v>0</v>
      </c>
    </row>
    <row r="61" spans="1:4" x14ac:dyDescent="0.25">
      <c r="A61" s="32">
        <v>60</v>
      </c>
      <c r="B61" s="30" t="s">
        <v>62</v>
      </c>
      <c r="C61" s="32">
        <v>2</v>
      </c>
      <c r="D61" s="32">
        <v>0</v>
      </c>
    </row>
    <row r="62" spans="1:4" x14ac:dyDescent="0.25">
      <c r="A62" s="32">
        <v>61</v>
      </c>
      <c r="B62" s="30" t="s">
        <v>63</v>
      </c>
      <c r="C62" s="32">
        <v>1</v>
      </c>
      <c r="D62" s="32">
        <v>0</v>
      </c>
    </row>
    <row r="63" spans="1:4" x14ac:dyDescent="0.25">
      <c r="A63" s="32">
        <v>62</v>
      </c>
      <c r="B63" s="30" t="s">
        <v>64</v>
      </c>
      <c r="C63" s="32">
        <v>2</v>
      </c>
      <c r="D63" s="32">
        <v>0</v>
      </c>
    </row>
    <row r="64" spans="1:4" x14ac:dyDescent="0.25">
      <c r="A64" s="32">
        <v>63</v>
      </c>
      <c r="B64" s="30" t="s">
        <v>65</v>
      </c>
      <c r="C64" s="32">
        <v>2</v>
      </c>
      <c r="D64" s="32">
        <v>2</v>
      </c>
    </row>
    <row r="65" spans="1:4" x14ac:dyDescent="0.25">
      <c r="A65" s="32">
        <v>64</v>
      </c>
      <c r="B65" s="30" t="s">
        <v>66</v>
      </c>
      <c r="C65" s="32">
        <v>3</v>
      </c>
      <c r="D65" s="32">
        <v>0</v>
      </c>
    </row>
    <row r="66" spans="1:4" x14ac:dyDescent="0.25">
      <c r="A66" s="32">
        <v>65</v>
      </c>
      <c r="B66" s="30" t="s">
        <v>67</v>
      </c>
      <c r="C66" s="32">
        <v>1</v>
      </c>
      <c r="D66" s="32">
        <v>0</v>
      </c>
    </row>
    <row r="67" spans="1:4" x14ac:dyDescent="0.25">
      <c r="A67" s="32">
        <v>66</v>
      </c>
      <c r="B67" s="30" t="s">
        <v>68</v>
      </c>
      <c r="C67" s="32">
        <v>3</v>
      </c>
      <c r="D67" s="32">
        <v>0</v>
      </c>
    </row>
    <row r="68" spans="1:4" x14ac:dyDescent="0.25">
      <c r="A68" s="32">
        <v>67</v>
      </c>
      <c r="B68" s="30" t="s">
        <v>69</v>
      </c>
      <c r="C68" s="32">
        <v>5</v>
      </c>
      <c r="D68" s="32">
        <v>2</v>
      </c>
    </row>
    <row r="69" spans="1:4" x14ac:dyDescent="0.25">
      <c r="A69" s="32">
        <v>68</v>
      </c>
      <c r="B69" s="30" t="s">
        <v>70</v>
      </c>
      <c r="C69" s="32">
        <v>3</v>
      </c>
      <c r="D69" s="32">
        <v>1</v>
      </c>
    </row>
    <row r="70" spans="1:4" x14ac:dyDescent="0.25">
      <c r="A70" s="32">
        <v>69</v>
      </c>
      <c r="B70" s="30" t="s">
        <v>71</v>
      </c>
      <c r="C70" s="32">
        <v>2</v>
      </c>
      <c r="D70" s="32">
        <v>0</v>
      </c>
    </row>
    <row r="71" spans="1:4" x14ac:dyDescent="0.25">
      <c r="A71" s="32">
        <v>70</v>
      </c>
      <c r="B71" s="30" t="s">
        <v>72</v>
      </c>
      <c r="C71" s="32">
        <v>5</v>
      </c>
      <c r="D71" s="32">
        <v>1</v>
      </c>
    </row>
    <row r="72" spans="1:4" x14ac:dyDescent="0.25">
      <c r="A72" s="32">
        <v>71</v>
      </c>
      <c r="B72" s="30" t="s">
        <v>73</v>
      </c>
      <c r="C72" s="32">
        <v>3</v>
      </c>
      <c r="D72" s="32">
        <v>1</v>
      </c>
    </row>
    <row r="73" spans="1:4" x14ac:dyDescent="0.25">
      <c r="A73" s="32">
        <v>72</v>
      </c>
      <c r="B73" s="30" t="s">
        <v>74</v>
      </c>
      <c r="C73" s="32">
        <v>2</v>
      </c>
      <c r="D73" s="32">
        <v>0</v>
      </c>
    </row>
    <row r="74" spans="1:4" x14ac:dyDescent="0.25">
      <c r="A74" s="32">
        <v>73</v>
      </c>
      <c r="B74" s="30" t="s">
        <v>75</v>
      </c>
      <c r="C74" s="32">
        <v>1</v>
      </c>
      <c r="D74" s="32">
        <v>0</v>
      </c>
    </row>
    <row r="75" spans="1:4" x14ac:dyDescent="0.25">
      <c r="A75" s="32">
        <v>74</v>
      </c>
      <c r="B75" s="30" t="s">
        <v>76</v>
      </c>
      <c r="C75" s="32">
        <v>3</v>
      </c>
      <c r="D75" s="32">
        <v>0</v>
      </c>
    </row>
    <row r="76" spans="1:4" x14ac:dyDescent="0.25">
      <c r="A76" s="32">
        <v>75</v>
      </c>
      <c r="B76" s="30" t="s">
        <v>77</v>
      </c>
      <c r="C76" s="32">
        <v>3</v>
      </c>
      <c r="D76" s="32">
        <v>0</v>
      </c>
    </row>
    <row r="77" spans="1:4" x14ac:dyDescent="0.25">
      <c r="A77" s="32">
        <v>76</v>
      </c>
      <c r="B77" s="30" t="s">
        <v>78</v>
      </c>
      <c r="C77" s="32">
        <v>1</v>
      </c>
      <c r="D77" s="32">
        <v>0</v>
      </c>
    </row>
    <row r="78" spans="1:4" x14ac:dyDescent="0.25">
      <c r="A78" s="32">
        <v>77</v>
      </c>
      <c r="B78" s="30" t="s">
        <v>79</v>
      </c>
      <c r="C78" s="32">
        <v>1</v>
      </c>
      <c r="D78" s="32">
        <v>0</v>
      </c>
    </row>
    <row r="79" spans="1:4" x14ac:dyDescent="0.25">
      <c r="A79" s="32">
        <v>78</v>
      </c>
      <c r="B79" s="30" t="s">
        <v>80</v>
      </c>
      <c r="C79" s="32">
        <v>1</v>
      </c>
      <c r="D79" s="32">
        <v>1</v>
      </c>
    </row>
    <row r="80" spans="1:4" x14ac:dyDescent="0.25">
      <c r="A80" s="32">
        <v>79</v>
      </c>
      <c r="B80" s="30" t="s">
        <v>81</v>
      </c>
      <c r="C80" s="32">
        <v>2</v>
      </c>
      <c r="D80" s="32">
        <v>0</v>
      </c>
    </row>
    <row r="81" spans="1:4" x14ac:dyDescent="0.25">
      <c r="A81" s="32">
        <v>80</v>
      </c>
      <c r="B81" s="30" t="s">
        <v>82</v>
      </c>
      <c r="C81" s="32">
        <v>1</v>
      </c>
      <c r="D81" s="32">
        <v>1</v>
      </c>
    </row>
    <row r="82" spans="1:4" x14ac:dyDescent="0.25">
      <c r="A82" s="32">
        <v>81</v>
      </c>
      <c r="B82" s="30" t="s">
        <v>83</v>
      </c>
      <c r="C82" s="32">
        <v>12</v>
      </c>
      <c r="D82" s="32">
        <v>0</v>
      </c>
    </row>
    <row r="83" spans="1:4" x14ac:dyDescent="0.25">
      <c r="A83" s="32">
        <v>82</v>
      </c>
      <c r="B83" s="30" t="s">
        <v>84</v>
      </c>
      <c r="C83" s="32">
        <v>5</v>
      </c>
      <c r="D83" s="32">
        <v>1</v>
      </c>
    </row>
    <row r="84" spans="1:4" x14ac:dyDescent="0.25">
      <c r="A84" s="32">
        <v>83</v>
      </c>
      <c r="B84" s="30" t="s">
        <v>85</v>
      </c>
      <c r="C84" s="32">
        <v>4</v>
      </c>
      <c r="D84" s="32">
        <v>0</v>
      </c>
    </row>
    <row r="85" spans="1:4" x14ac:dyDescent="0.25">
      <c r="A85" s="32">
        <v>84</v>
      </c>
      <c r="B85" s="30" t="s">
        <v>86</v>
      </c>
      <c r="C85" s="32">
        <v>3</v>
      </c>
      <c r="D85" s="32">
        <v>0</v>
      </c>
    </row>
    <row r="86" spans="1:4" x14ac:dyDescent="0.25">
      <c r="A86" s="32">
        <v>85</v>
      </c>
      <c r="B86" s="30" t="s">
        <v>87</v>
      </c>
      <c r="C86" s="32">
        <v>1</v>
      </c>
      <c r="D86" s="32">
        <v>0</v>
      </c>
    </row>
    <row r="87" spans="1:4" x14ac:dyDescent="0.25">
      <c r="A87" s="32">
        <v>86</v>
      </c>
      <c r="B87" s="30" t="s">
        <v>88</v>
      </c>
      <c r="C87" s="32">
        <v>3</v>
      </c>
      <c r="D87" s="32">
        <v>0</v>
      </c>
    </row>
    <row r="88" spans="1:4" x14ac:dyDescent="0.25">
      <c r="A88" s="32">
        <v>87</v>
      </c>
      <c r="B88" s="30" t="s">
        <v>89</v>
      </c>
      <c r="C88" s="32">
        <v>7</v>
      </c>
      <c r="D88" s="32">
        <v>1</v>
      </c>
    </row>
    <row r="89" spans="1:4" x14ac:dyDescent="0.25">
      <c r="A89" s="32">
        <v>88</v>
      </c>
      <c r="B89" s="30" t="s">
        <v>90</v>
      </c>
      <c r="C89" s="32">
        <v>3</v>
      </c>
      <c r="D89" s="32">
        <v>0</v>
      </c>
    </row>
    <row r="90" spans="1:4" x14ac:dyDescent="0.25">
      <c r="A90" s="32">
        <v>89</v>
      </c>
      <c r="B90" s="30" t="s">
        <v>91</v>
      </c>
      <c r="C90" s="32">
        <v>3</v>
      </c>
      <c r="D90" s="32">
        <v>1</v>
      </c>
    </row>
    <row r="91" spans="1:4" x14ac:dyDescent="0.25">
      <c r="A91" s="32">
        <v>90</v>
      </c>
      <c r="B91" s="30" t="s">
        <v>92</v>
      </c>
      <c r="C91" s="32">
        <v>2</v>
      </c>
      <c r="D91" s="32">
        <v>0</v>
      </c>
    </row>
    <row r="92" spans="1:4" x14ac:dyDescent="0.25">
      <c r="A92" s="32">
        <v>91</v>
      </c>
      <c r="B92" s="30" t="s">
        <v>93</v>
      </c>
      <c r="C92" s="32">
        <v>4</v>
      </c>
      <c r="D92" s="32">
        <v>0</v>
      </c>
    </row>
    <row r="93" spans="1:4" x14ac:dyDescent="0.25">
      <c r="A93" s="32">
        <v>92</v>
      </c>
      <c r="B93" s="30" t="s">
        <v>94</v>
      </c>
      <c r="C93" s="32">
        <v>3</v>
      </c>
      <c r="D93" s="32">
        <v>0</v>
      </c>
    </row>
    <row r="94" spans="1:4" x14ac:dyDescent="0.25">
      <c r="A94" s="32">
        <v>93</v>
      </c>
      <c r="B94" s="30" t="s">
        <v>95</v>
      </c>
      <c r="C94" s="32">
        <v>1</v>
      </c>
      <c r="D94" s="32">
        <v>0</v>
      </c>
    </row>
    <row r="95" spans="1:4" x14ac:dyDescent="0.25">
      <c r="A95" s="32">
        <v>94</v>
      </c>
      <c r="B95" s="30" t="s">
        <v>96</v>
      </c>
      <c r="C95" s="32">
        <v>4</v>
      </c>
      <c r="D95" s="32">
        <v>0</v>
      </c>
    </row>
    <row r="96" spans="1:4" x14ac:dyDescent="0.25">
      <c r="A96" s="32">
        <v>95</v>
      </c>
      <c r="B96" s="30" t="s">
        <v>97</v>
      </c>
      <c r="C96" s="32">
        <v>3</v>
      </c>
      <c r="D96" s="32">
        <v>0</v>
      </c>
    </row>
    <row r="97" spans="1:4" x14ac:dyDescent="0.25">
      <c r="A97" s="32">
        <v>96</v>
      </c>
      <c r="B97" s="30" t="s">
        <v>98</v>
      </c>
      <c r="C97" s="32">
        <v>1</v>
      </c>
      <c r="D97" s="32">
        <v>0</v>
      </c>
    </row>
    <row r="98" spans="1:4" x14ac:dyDescent="0.25">
      <c r="A98" s="32">
        <v>97</v>
      </c>
      <c r="B98" s="30" t="s">
        <v>99</v>
      </c>
      <c r="C98" s="32">
        <v>2</v>
      </c>
      <c r="D98" s="32">
        <v>1</v>
      </c>
    </row>
    <row r="99" spans="1:4" x14ac:dyDescent="0.25">
      <c r="A99" s="32">
        <v>98</v>
      </c>
      <c r="B99" s="30" t="s">
        <v>100</v>
      </c>
      <c r="C99" s="32">
        <v>1</v>
      </c>
      <c r="D99" s="32">
        <v>0</v>
      </c>
    </row>
    <row r="100" spans="1:4" x14ac:dyDescent="0.25">
      <c r="A100" s="32">
        <v>99</v>
      </c>
      <c r="B100" s="30" t="s">
        <v>101</v>
      </c>
      <c r="C100" s="32">
        <v>3</v>
      </c>
      <c r="D100" s="32">
        <v>1</v>
      </c>
    </row>
    <row r="101" spans="1:4" x14ac:dyDescent="0.25">
      <c r="A101" s="32">
        <v>100</v>
      </c>
      <c r="B101" s="30" t="s">
        <v>102</v>
      </c>
      <c r="C101" s="32">
        <v>2</v>
      </c>
      <c r="D101" s="32">
        <v>0</v>
      </c>
    </row>
    <row r="102" spans="1:4" x14ac:dyDescent="0.25">
      <c r="A102" s="32">
        <v>101</v>
      </c>
      <c r="B102" s="30" t="s">
        <v>103</v>
      </c>
      <c r="C102" s="32">
        <v>5</v>
      </c>
      <c r="D102" s="32">
        <v>0</v>
      </c>
    </row>
    <row r="103" spans="1:4" x14ac:dyDescent="0.25">
      <c r="A103" s="32">
        <v>102</v>
      </c>
      <c r="B103" s="30" t="s">
        <v>104</v>
      </c>
      <c r="C103" s="32">
        <v>3</v>
      </c>
      <c r="D103" s="32">
        <v>0</v>
      </c>
    </row>
    <row r="104" spans="1:4" x14ac:dyDescent="0.25">
      <c r="A104" s="32">
        <v>103</v>
      </c>
      <c r="B104" s="30" t="s">
        <v>105</v>
      </c>
      <c r="C104" s="32">
        <v>5</v>
      </c>
      <c r="D104" s="32">
        <v>0</v>
      </c>
    </row>
    <row r="105" spans="1:4" x14ac:dyDescent="0.25">
      <c r="A105" s="32">
        <v>104</v>
      </c>
      <c r="B105" s="30" t="s">
        <v>106</v>
      </c>
      <c r="C105" s="32">
        <v>1</v>
      </c>
      <c r="D105" s="32">
        <v>0</v>
      </c>
    </row>
    <row r="106" spans="1:4" x14ac:dyDescent="0.25">
      <c r="A106" s="32">
        <v>105</v>
      </c>
      <c r="B106" s="30" t="s">
        <v>107</v>
      </c>
      <c r="C106" s="32">
        <v>1</v>
      </c>
      <c r="D106" s="32">
        <v>0</v>
      </c>
    </row>
    <row r="107" spans="1:4" x14ac:dyDescent="0.25">
      <c r="A107" s="32">
        <v>106</v>
      </c>
      <c r="B107" s="30" t="s">
        <v>108</v>
      </c>
      <c r="C107" s="32">
        <v>2</v>
      </c>
      <c r="D107" s="32">
        <v>0</v>
      </c>
    </row>
    <row r="108" spans="1:4" x14ac:dyDescent="0.25">
      <c r="A108" s="32">
        <v>107</v>
      </c>
      <c r="B108" s="30" t="s">
        <v>109</v>
      </c>
      <c r="C108" s="32">
        <v>3</v>
      </c>
      <c r="D108" s="32">
        <v>0</v>
      </c>
    </row>
    <row r="109" spans="1:4" x14ac:dyDescent="0.25">
      <c r="A109" s="32">
        <v>108</v>
      </c>
      <c r="B109" s="30" t="s">
        <v>110</v>
      </c>
      <c r="C109" s="32">
        <v>3</v>
      </c>
      <c r="D109" s="32">
        <v>0</v>
      </c>
    </row>
    <row r="110" spans="1:4" x14ac:dyDescent="0.25">
      <c r="A110" s="32">
        <v>109</v>
      </c>
      <c r="B110" s="30" t="s">
        <v>111</v>
      </c>
      <c r="C110" s="32">
        <v>2</v>
      </c>
      <c r="D110" s="32">
        <v>0</v>
      </c>
    </row>
    <row r="111" spans="1:4" x14ac:dyDescent="0.25">
      <c r="A111" s="32">
        <v>110</v>
      </c>
      <c r="B111" s="30" t="s">
        <v>112</v>
      </c>
      <c r="C111" s="32">
        <v>2</v>
      </c>
      <c r="D111" s="32">
        <v>0</v>
      </c>
    </row>
    <row r="112" spans="1:4" x14ac:dyDescent="0.25">
      <c r="A112" s="32">
        <v>111</v>
      </c>
      <c r="B112" s="30" t="s">
        <v>113</v>
      </c>
      <c r="C112" s="32">
        <v>4</v>
      </c>
      <c r="D112" s="32">
        <v>0</v>
      </c>
    </row>
    <row r="113" spans="1:4" x14ac:dyDescent="0.25">
      <c r="A113" s="32">
        <v>112</v>
      </c>
      <c r="B113" s="30" t="s">
        <v>114</v>
      </c>
      <c r="C113" s="32">
        <v>1</v>
      </c>
      <c r="D113" s="32">
        <v>0</v>
      </c>
    </row>
    <row r="114" spans="1:4" x14ac:dyDescent="0.25">
      <c r="A114" s="32">
        <v>113</v>
      </c>
      <c r="B114" s="30" t="s">
        <v>115</v>
      </c>
      <c r="C114" s="32">
        <v>1</v>
      </c>
      <c r="D114" s="32">
        <v>0</v>
      </c>
    </row>
    <row r="115" spans="1:4" x14ac:dyDescent="0.25">
      <c r="A115" s="32">
        <v>114</v>
      </c>
      <c r="B115" s="30" t="s">
        <v>116</v>
      </c>
      <c r="C115" s="32">
        <v>1</v>
      </c>
      <c r="D115" s="32">
        <v>1</v>
      </c>
    </row>
    <row r="116" spans="1:4" x14ac:dyDescent="0.25">
      <c r="A116" s="32">
        <v>115</v>
      </c>
      <c r="B116" s="30" t="s">
        <v>117</v>
      </c>
      <c r="C116" s="32">
        <v>1</v>
      </c>
      <c r="D116" s="32">
        <v>0</v>
      </c>
    </row>
    <row r="117" spans="1:4" x14ac:dyDescent="0.25">
      <c r="A117" s="32">
        <v>116</v>
      </c>
      <c r="B117" s="30" t="s">
        <v>118</v>
      </c>
      <c r="C117" s="32">
        <v>1</v>
      </c>
      <c r="D117" s="32">
        <v>0</v>
      </c>
    </row>
    <row r="118" spans="1:4" x14ac:dyDescent="0.25">
      <c r="A118" s="32">
        <v>117</v>
      </c>
      <c r="B118" s="30" t="s">
        <v>119</v>
      </c>
      <c r="C118" s="32">
        <v>1</v>
      </c>
      <c r="D118" s="32">
        <v>0</v>
      </c>
    </row>
    <row r="119" spans="1:4" x14ac:dyDescent="0.25">
      <c r="A119" s="32">
        <v>118</v>
      </c>
      <c r="B119" s="30" t="s">
        <v>120</v>
      </c>
      <c r="C119" s="32">
        <v>3</v>
      </c>
      <c r="D119" s="32">
        <v>0</v>
      </c>
    </row>
    <row r="120" spans="1:4" x14ac:dyDescent="0.25">
      <c r="A120" s="32">
        <v>119</v>
      </c>
      <c r="B120" s="30" t="s">
        <v>121</v>
      </c>
      <c r="C120" s="32">
        <v>4</v>
      </c>
      <c r="D120" s="32">
        <v>1</v>
      </c>
    </row>
    <row r="121" spans="1:4" x14ac:dyDescent="0.25">
      <c r="A121" s="32">
        <v>120</v>
      </c>
      <c r="B121" s="30" t="s">
        <v>122</v>
      </c>
      <c r="C121" s="32">
        <v>2</v>
      </c>
      <c r="D121" s="32">
        <v>0</v>
      </c>
    </row>
    <row r="122" spans="1:4" x14ac:dyDescent="0.25">
      <c r="A122" s="32">
        <v>121</v>
      </c>
      <c r="B122" s="30" t="s">
        <v>123</v>
      </c>
      <c r="C122" s="32">
        <v>1</v>
      </c>
      <c r="D122" s="32">
        <v>0</v>
      </c>
    </row>
    <row r="123" spans="1:4" x14ac:dyDescent="0.25">
      <c r="A123" s="32">
        <v>122</v>
      </c>
      <c r="B123" s="30" t="s">
        <v>124</v>
      </c>
      <c r="C123" s="32">
        <v>2</v>
      </c>
      <c r="D123" s="32">
        <v>0</v>
      </c>
    </row>
    <row r="124" spans="1:4" x14ac:dyDescent="0.25">
      <c r="A124" s="32">
        <v>123</v>
      </c>
      <c r="B124" s="30" t="s">
        <v>125</v>
      </c>
      <c r="C124" s="32">
        <v>2</v>
      </c>
      <c r="D124" s="32">
        <v>0</v>
      </c>
    </row>
    <row r="125" spans="1:4" x14ac:dyDescent="0.25">
      <c r="A125" s="32">
        <v>124</v>
      </c>
      <c r="B125" s="30" t="s">
        <v>126</v>
      </c>
      <c r="C125" s="32">
        <v>1</v>
      </c>
      <c r="D125" s="32">
        <v>0</v>
      </c>
    </row>
    <row r="126" spans="1:4" x14ac:dyDescent="0.25">
      <c r="A126" s="32">
        <v>125</v>
      </c>
      <c r="B126" s="30" t="s">
        <v>127</v>
      </c>
      <c r="C126" s="32">
        <v>2</v>
      </c>
      <c r="D126" s="32">
        <v>0</v>
      </c>
    </row>
    <row r="127" spans="1:4" x14ac:dyDescent="0.25">
      <c r="A127" s="32">
        <v>126</v>
      </c>
      <c r="B127" s="30" t="s">
        <v>128</v>
      </c>
      <c r="C127" s="32">
        <v>2</v>
      </c>
      <c r="D127" s="32">
        <v>0</v>
      </c>
    </row>
    <row r="128" spans="1:4" x14ac:dyDescent="0.25">
      <c r="A128" s="32">
        <v>127</v>
      </c>
      <c r="B128" s="30" t="s">
        <v>129</v>
      </c>
      <c r="C128" s="32">
        <v>1</v>
      </c>
      <c r="D128" s="32">
        <v>0</v>
      </c>
    </row>
    <row r="129" spans="1:4" x14ac:dyDescent="0.25">
      <c r="A129" s="32">
        <v>128</v>
      </c>
      <c r="B129" s="30" t="s">
        <v>130</v>
      </c>
      <c r="C129" s="32">
        <v>3</v>
      </c>
      <c r="D129" s="32">
        <v>0</v>
      </c>
    </row>
    <row r="130" spans="1:4" x14ac:dyDescent="0.25">
      <c r="A130" s="32">
        <v>129</v>
      </c>
      <c r="B130" s="30" t="s">
        <v>131</v>
      </c>
      <c r="C130" s="32">
        <v>2</v>
      </c>
      <c r="D130" s="32">
        <v>0</v>
      </c>
    </row>
    <row r="131" spans="1:4" x14ac:dyDescent="0.25">
      <c r="A131" s="32">
        <v>130</v>
      </c>
      <c r="B131" s="30" t="s">
        <v>132</v>
      </c>
      <c r="C131" s="32">
        <v>1</v>
      </c>
      <c r="D131" s="32">
        <v>1</v>
      </c>
    </row>
    <row r="132" spans="1:4" x14ac:dyDescent="0.25">
      <c r="A132" s="32">
        <v>131</v>
      </c>
      <c r="B132" s="30" t="s">
        <v>133</v>
      </c>
      <c r="C132" s="32">
        <v>3</v>
      </c>
      <c r="D132" s="32">
        <v>0</v>
      </c>
    </row>
    <row r="133" spans="1:4" x14ac:dyDescent="0.25">
      <c r="A133" s="32">
        <v>132</v>
      </c>
      <c r="B133" s="30" t="s">
        <v>134</v>
      </c>
      <c r="C133" s="32">
        <v>1</v>
      </c>
      <c r="D133" s="32">
        <v>0</v>
      </c>
    </row>
    <row r="134" spans="1:4" x14ac:dyDescent="0.25">
      <c r="A134" s="32">
        <v>133</v>
      </c>
      <c r="B134" s="30" t="s">
        <v>135</v>
      </c>
      <c r="C134" s="32">
        <v>4</v>
      </c>
      <c r="D134" s="32">
        <v>0</v>
      </c>
    </row>
    <row r="135" spans="1:4" x14ac:dyDescent="0.25">
      <c r="A135" s="32">
        <v>134</v>
      </c>
      <c r="B135" s="30" t="s">
        <v>136</v>
      </c>
      <c r="C135" s="32">
        <v>4</v>
      </c>
      <c r="D135" s="32">
        <v>2</v>
      </c>
    </row>
    <row r="136" spans="1:4" x14ac:dyDescent="0.25">
      <c r="A136" s="32">
        <v>135</v>
      </c>
      <c r="B136" s="30" t="s">
        <v>137</v>
      </c>
      <c r="C136" s="32">
        <v>7</v>
      </c>
      <c r="D136" s="32">
        <v>0</v>
      </c>
    </row>
    <row r="137" spans="1:4" x14ac:dyDescent="0.25">
      <c r="A137" s="32">
        <v>136</v>
      </c>
      <c r="B137" s="30" t="s">
        <v>138</v>
      </c>
      <c r="C137" s="32">
        <v>4</v>
      </c>
      <c r="D137" s="32">
        <v>1</v>
      </c>
    </row>
    <row r="138" spans="1:4" x14ac:dyDescent="0.25">
      <c r="A138" s="32">
        <v>137</v>
      </c>
      <c r="B138" s="30" t="s">
        <v>139</v>
      </c>
      <c r="C138" s="32">
        <v>5</v>
      </c>
      <c r="D138" s="32">
        <v>1</v>
      </c>
    </row>
    <row r="139" spans="1:4" x14ac:dyDescent="0.25">
      <c r="A139" s="32">
        <v>138</v>
      </c>
      <c r="B139" s="30" t="s">
        <v>140</v>
      </c>
      <c r="C139" s="32">
        <v>3</v>
      </c>
      <c r="D139" s="32">
        <v>0</v>
      </c>
    </row>
    <row r="140" spans="1:4" x14ac:dyDescent="0.25">
      <c r="A140" s="32">
        <v>139</v>
      </c>
      <c r="B140" s="30" t="s">
        <v>141</v>
      </c>
      <c r="C140" s="32">
        <v>1</v>
      </c>
      <c r="D140" s="32">
        <v>0</v>
      </c>
    </row>
    <row r="141" spans="1:4" x14ac:dyDescent="0.25">
      <c r="A141" s="32">
        <v>140</v>
      </c>
      <c r="B141" s="30" t="s">
        <v>142</v>
      </c>
      <c r="C141" s="32">
        <v>1</v>
      </c>
      <c r="D141" s="32">
        <v>0</v>
      </c>
    </row>
    <row r="142" spans="1:4" x14ac:dyDescent="0.25">
      <c r="A142" s="32">
        <v>141</v>
      </c>
      <c r="B142" s="30" t="s">
        <v>143</v>
      </c>
      <c r="C142" s="32">
        <v>3</v>
      </c>
      <c r="D142" s="32">
        <v>0</v>
      </c>
    </row>
    <row r="143" spans="1:4" x14ac:dyDescent="0.25">
      <c r="A143" s="32">
        <v>142</v>
      </c>
      <c r="B143" s="30" t="s">
        <v>144</v>
      </c>
      <c r="C143" s="32">
        <v>6</v>
      </c>
      <c r="D143" s="32">
        <v>0</v>
      </c>
    </row>
    <row r="144" spans="1:4" x14ac:dyDescent="0.25">
      <c r="A144" s="32">
        <v>143</v>
      </c>
      <c r="B144" s="30" t="s">
        <v>145</v>
      </c>
      <c r="C144" s="32">
        <v>1</v>
      </c>
      <c r="D144" s="32">
        <v>0</v>
      </c>
    </row>
    <row r="145" spans="1:5" x14ac:dyDescent="0.25">
      <c r="A145" s="32">
        <v>144</v>
      </c>
      <c r="B145" s="30" t="s">
        <v>146</v>
      </c>
      <c r="C145" s="32">
        <v>3</v>
      </c>
      <c r="D145" s="32">
        <v>0</v>
      </c>
    </row>
    <row r="146" spans="1:5" x14ac:dyDescent="0.25">
      <c r="A146" s="32">
        <v>145</v>
      </c>
      <c r="B146" s="30" t="s">
        <v>147</v>
      </c>
      <c r="C146" s="32">
        <v>57</v>
      </c>
      <c r="D146" s="32">
        <v>8</v>
      </c>
    </row>
    <row r="147" spans="1:5" x14ac:dyDescent="0.25">
      <c r="A147" s="32">
        <v>146</v>
      </c>
      <c r="B147" s="30" t="s">
        <v>300</v>
      </c>
      <c r="C147" s="32">
        <f>34+57</f>
        <v>91</v>
      </c>
      <c r="D147" s="32">
        <f>(25/2)+39</f>
        <v>51.5</v>
      </c>
      <c r="E147" s="33">
        <f>((25/34/2)+(39/57))/2</f>
        <v>0.52592879256965941</v>
      </c>
    </row>
    <row r="148" spans="1:5" x14ac:dyDescent="0.25">
      <c r="A148" s="32">
        <v>147</v>
      </c>
      <c r="B148" s="30" t="s">
        <v>149</v>
      </c>
      <c r="C148" s="32">
        <v>1</v>
      </c>
      <c r="D148" s="32">
        <v>0</v>
      </c>
    </row>
    <row r="149" spans="1:5" x14ac:dyDescent="0.25">
      <c r="A149" s="32">
        <v>148</v>
      </c>
      <c r="B149" s="30" t="s">
        <v>150</v>
      </c>
      <c r="C149" s="32">
        <v>7</v>
      </c>
      <c r="D149" s="32">
        <v>4</v>
      </c>
    </row>
    <row r="150" spans="1:5" x14ac:dyDescent="0.25">
      <c r="A150" s="32">
        <v>149</v>
      </c>
      <c r="B150" s="30" t="s">
        <v>151</v>
      </c>
      <c r="C150" s="32">
        <v>14</v>
      </c>
      <c r="D150" s="32">
        <v>2</v>
      </c>
    </row>
    <row r="151" spans="1:5" x14ac:dyDescent="0.25">
      <c r="A151" s="32">
        <v>150</v>
      </c>
      <c r="B151" s="30" t="s">
        <v>152</v>
      </c>
      <c r="C151" s="32">
        <v>5</v>
      </c>
      <c r="D151" s="32">
        <v>0</v>
      </c>
    </row>
    <row r="152" spans="1:5" x14ac:dyDescent="0.25">
      <c r="A152" s="32">
        <v>151</v>
      </c>
      <c r="B152" s="30" t="s">
        <v>153</v>
      </c>
      <c r="C152" s="32">
        <v>7</v>
      </c>
      <c r="D152" s="32">
        <v>1</v>
      </c>
    </row>
    <row r="153" spans="1:5" x14ac:dyDescent="0.25">
      <c r="A153" s="32">
        <v>152</v>
      </c>
      <c r="B153" s="30" t="s">
        <v>154</v>
      </c>
      <c r="C153" s="32">
        <v>37</v>
      </c>
      <c r="D153" s="32">
        <v>10</v>
      </c>
    </row>
    <row r="154" spans="1:5" x14ac:dyDescent="0.25">
      <c r="A154" s="32">
        <v>153</v>
      </c>
      <c r="B154" s="30" t="s">
        <v>155</v>
      </c>
      <c r="C154" s="32">
        <v>10</v>
      </c>
      <c r="D154" s="32">
        <v>4</v>
      </c>
    </row>
    <row r="155" spans="1:5" x14ac:dyDescent="0.25">
      <c r="A155" s="32">
        <v>154</v>
      </c>
      <c r="B155" s="30" t="s">
        <v>156</v>
      </c>
      <c r="C155" s="32">
        <v>1</v>
      </c>
      <c r="D155" s="32">
        <v>1</v>
      </c>
    </row>
    <row r="156" spans="1:5" x14ac:dyDescent="0.25">
      <c r="A156" s="32">
        <v>155</v>
      </c>
      <c r="B156" s="30" t="s">
        <v>157</v>
      </c>
      <c r="C156" s="32">
        <v>27</v>
      </c>
      <c r="D156" s="32">
        <v>3</v>
      </c>
    </row>
    <row r="157" spans="1:5" x14ac:dyDescent="0.25">
      <c r="A157" s="32">
        <v>156</v>
      </c>
      <c r="B157" s="30" t="s">
        <v>158</v>
      </c>
      <c r="C157" s="32">
        <v>15</v>
      </c>
      <c r="D157" s="32">
        <v>1</v>
      </c>
    </row>
    <row r="158" spans="1:5" x14ac:dyDescent="0.25">
      <c r="A158" s="32">
        <v>157</v>
      </c>
      <c r="B158" s="30" t="s">
        <v>159</v>
      </c>
      <c r="C158" s="32">
        <v>6</v>
      </c>
      <c r="D158" s="32">
        <v>1</v>
      </c>
    </row>
    <row r="159" spans="1:5" x14ac:dyDescent="0.25">
      <c r="A159" s="32">
        <v>158</v>
      </c>
      <c r="B159" s="30" t="s">
        <v>160</v>
      </c>
      <c r="C159" s="32">
        <v>17</v>
      </c>
      <c r="D159" s="32">
        <v>1</v>
      </c>
    </row>
    <row r="160" spans="1:5" x14ac:dyDescent="0.25">
      <c r="A160" s="32">
        <v>159</v>
      </c>
      <c r="B160" s="30" t="s">
        <v>161</v>
      </c>
      <c r="C160" s="32">
        <v>4</v>
      </c>
      <c r="D160" s="32">
        <v>1</v>
      </c>
    </row>
    <row r="161" spans="1:5" x14ac:dyDescent="0.25">
      <c r="A161" s="32">
        <v>160</v>
      </c>
      <c r="B161" s="30" t="s">
        <v>162</v>
      </c>
      <c r="C161" s="32">
        <v>7</v>
      </c>
      <c r="D161" s="32">
        <v>1</v>
      </c>
    </row>
    <row r="162" spans="1:5" x14ac:dyDescent="0.25">
      <c r="A162" s="32">
        <v>161</v>
      </c>
      <c r="B162" s="30" t="s">
        <v>163</v>
      </c>
      <c r="C162" s="32">
        <v>5</v>
      </c>
      <c r="D162" s="32">
        <v>0</v>
      </c>
    </row>
    <row r="163" spans="1:5" x14ac:dyDescent="0.25">
      <c r="A163" s="32">
        <v>162</v>
      </c>
      <c r="B163" s="30" t="s">
        <v>164</v>
      </c>
      <c r="C163" s="32">
        <v>8</v>
      </c>
      <c r="D163" s="32">
        <v>4</v>
      </c>
    </row>
    <row r="164" spans="1:5" x14ac:dyDescent="0.25">
      <c r="A164" s="32">
        <v>163</v>
      </c>
      <c r="B164" s="30" t="s">
        <v>165</v>
      </c>
      <c r="C164" s="32">
        <v>25</v>
      </c>
      <c r="D164" s="32">
        <v>1</v>
      </c>
    </row>
    <row r="165" spans="1:5" x14ac:dyDescent="0.25">
      <c r="A165" s="32">
        <v>164</v>
      </c>
      <c r="B165" s="30" t="s">
        <v>166</v>
      </c>
      <c r="C165" s="32">
        <v>27</v>
      </c>
      <c r="D165" s="32">
        <v>12</v>
      </c>
    </row>
    <row r="166" spans="1:5" x14ac:dyDescent="0.25">
      <c r="A166" s="32">
        <v>165</v>
      </c>
      <c r="B166" s="30" t="s">
        <v>167</v>
      </c>
      <c r="C166" s="32">
        <v>10</v>
      </c>
      <c r="D166" s="32">
        <v>0</v>
      </c>
    </row>
    <row r="167" spans="1:5" x14ac:dyDescent="0.25">
      <c r="A167" s="32">
        <v>166</v>
      </c>
      <c r="B167" s="30" t="s">
        <v>168</v>
      </c>
      <c r="C167" s="32">
        <v>1</v>
      </c>
      <c r="D167" s="32">
        <v>0</v>
      </c>
    </row>
    <row r="168" spans="1:5" x14ac:dyDescent="0.25">
      <c r="A168" s="32">
        <v>167</v>
      </c>
      <c r="B168" s="30" t="s">
        <v>299</v>
      </c>
      <c r="C168" s="32">
        <f>88+20</f>
        <v>108</v>
      </c>
      <c r="D168" s="32">
        <f>(79/2)+6</f>
        <v>45.5</v>
      </c>
      <c r="E168" s="33">
        <f>((79/88/2)+(6/20))/2</f>
        <v>0.37443181818181814</v>
      </c>
    </row>
    <row r="169" spans="1:5" x14ac:dyDescent="0.25">
      <c r="A169" s="32">
        <v>168</v>
      </c>
      <c r="B169" s="30" t="s">
        <v>170</v>
      </c>
      <c r="C169" s="32">
        <v>7</v>
      </c>
      <c r="D169" s="32">
        <v>2</v>
      </c>
    </row>
    <row r="170" spans="1:5" x14ac:dyDescent="0.25">
      <c r="A170" s="32">
        <v>169</v>
      </c>
      <c r="B170" s="30" t="s">
        <v>171</v>
      </c>
      <c r="C170" s="32">
        <v>9</v>
      </c>
      <c r="D170" s="32">
        <v>5</v>
      </c>
    </row>
    <row r="171" spans="1:5" x14ac:dyDescent="0.25">
      <c r="A171" s="32">
        <v>170</v>
      </c>
      <c r="B171" s="30" t="s">
        <v>172</v>
      </c>
      <c r="C171" s="32">
        <v>3</v>
      </c>
      <c r="D171" s="32">
        <v>2</v>
      </c>
    </row>
    <row r="172" spans="1:5" x14ac:dyDescent="0.25">
      <c r="A172" s="32">
        <v>171</v>
      </c>
      <c r="B172" s="30" t="s">
        <v>173</v>
      </c>
      <c r="C172" s="32">
        <v>4</v>
      </c>
      <c r="D172" s="32">
        <v>0</v>
      </c>
    </row>
    <row r="173" spans="1:5" x14ac:dyDescent="0.25">
      <c r="A173" s="32">
        <v>172</v>
      </c>
      <c r="B173" s="30" t="s">
        <v>174</v>
      </c>
      <c r="C173" s="32">
        <v>4</v>
      </c>
      <c r="D173" s="32">
        <v>0</v>
      </c>
    </row>
    <row r="174" spans="1:5" x14ac:dyDescent="0.25">
      <c r="A174" s="32">
        <v>173</v>
      </c>
      <c r="B174" s="30" t="s">
        <v>175</v>
      </c>
      <c r="C174" s="32">
        <v>1</v>
      </c>
      <c r="D174" s="32">
        <v>1</v>
      </c>
    </row>
    <row r="175" spans="1:5" x14ac:dyDescent="0.25">
      <c r="A175" s="32">
        <v>174</v>
      </c>
      <c r="B175" s="30" t="s">
        <v>176</v>
      </c>
      <c r="C175" s="32">
        <v>2</v>
      </c>
      <c r="D175" s="32">
        <v>1</v>
      </c>
    </row>
    <row r="176" spans="1:5" x14ac:dyDescent="0.25">
      <c r="A176" s="32">
        <v>175</v>
      </c>
      <c r="B176" s="30" t="s">
        <v>177</v>
      </c>
      <c r="C176" s="32">
        <v>5</v>
      </c>
      <c r="D176" s="32">
        <v>1</v>
      </c>
    </row>
    <row r="177" spans="1:4" x14ac:dyDescent="0.25">
      <c r="A177" s="32">
        <v>176</v>
      </c>
      <c r="B177" s="30" t="s">
        <v>178</v>
      </c>
      <c r="C177" s="32">
        <v>2</v>
      </c>
      <c r="D177" s="32">
        <v>0</v>
      </c>
    </row>
    <row r="178" spans="1:4" x14ac:dyDescent="0.25">
      <c r="A178" s="32">
        <v>177</v>
      </c>
      <c r="B178" s="30" t="s">
        <v>179</v>
      </c>
      <c r="C178" s="32">
        <v>10</v>
      </c>
      <c r="D178" s="32">
        <v>0</v>
      </c>
    </row>
    <row r="179" spans="1:4" x14ac:dyDescent="0.25">
      <c r="A179" s="32">
        <v>178</v>
      </c>
      <c r="B179" s="30" t="s">
        <v>180</v>
      </c>
      <c r="C179" s="32">
        <v>12</v>
      </c>
      <c r="D179" s="32">
        <v>0</v>
      </c>
    </row>
    <row r="180" spans="1:4" x14ac:dyDescent="0.25">
      <c r="A180" s="32">
        <v>179</v>
      </c>
      <c r="B180" s="30" t="s">
        <v>181</v>
      </c>
      <c r="C180" s="32">
        <v>10</v>
      </c>
      <c r="D180" s="32">
        <v>2</v>
      </c>
    </row>
    <row r="181" spans="1:4" x14ac:dyDescent="0.25">
      <c r="A181" s="32">
        <v>180</v>
      </c>
      <c r="B181" s="30" t="s">
        <v>182</v>
      </c>
      <c r="C181" s="32">
        <v>2</v>
      </c>
      <c r="D181" s="32">
        <v>0</v>
      </c>
    </row>
    <row r="182" spans="1:4" x14ac:dyDescent="0.25">
      <c r="A182" s="32">
        <v>181</v>
      </c>
      <c r="B182" s="30" t="s">
        <v>183</v>
      </c>
      <c r="C182" s="32">
        <v>2</v>
      </c>
      <c r="D182" s="32">
        <v>2</v>
      </c>
    </row>
    <row r="183" spans="1:4" x14ac:dyDescent="0.25">
      <c r="A183" s="32">
        <v>182</v>
      </c>
      <c r="B183" s="30" t="s">
        <v>184</v>
      </c>
      <c r="C183" s="32">
        <v>2</v>
      </c>
      <c r="D183" s="32">
        <v>0</v>
      </c>
    </row>
    <row r="184" spans="1:4" x14ac:dyDescent="0.25">
      <c r="A184" s="32">
        <v>183</v>
      </c>
      <c r="B184" s="30" t="s">
        <v>185</v>
      </c>
      <c r="C184" s="32">
        <v>4</v>
      </c>
      <c r="D184" s="32">
        <v>1</v>
      </c>
    </row>
    <row r="185" spans="1:4" x14ac:dyDescent="0.25">
      <c r="A185" s="32">
        <v>184</v>
      </c>
      <c r="B185" s="30" t="s">
        <v>186</v>
      </c>
      <c r="C185" s="32">
        <v>4</v>
      </c>
      <c r="D185" s="32">
        <v>1</v>
      </c>
    </row>
    <row r="186" spans="1:4" x14ac:dyDescent="0.25">
      <c r="A186" s="32">
        <v>185</v>
      </c>
      <c r="B186" s="30" t="s">
        <v>187</v>
      </c>
      <c r="C186" s="32">
        <v>2</v>
      </c>
      <c r="D186" s="32">
        <v>1</v>
      </c>
    </row>
    <row r="187" spans="1:4" x14ac:dyDescent="0.25">
      <c r="A187" s="32">
        <v>186</v>
      </c>
      <c r="B187" s="30" t="s">
        <v>188</v>
      </c>
      <c r="C187" s="32">
        <v>3</v>
      </c>
      <c r="D187" s="32">
        <v>2</v>
      </c>
    </row>
    <row r="188" spans="1:4" x14ac:dyDescent="0.25">
      <c r="A188" s="32">
        <v>187</v>
      </c>
      <c r="B188" s="30" t="s">
        <v>189</v>
      </c>
      <c r="C188" s="32">
        <v>2</v>
      </c>
      <c r="D188" s="32">
        <v>0</v>
      </c>
    </row>
    <row r="189" spans="1:4" x14ac:dyDescent="0.25">
      <c r="A189" s="32">
        <v>188</v>
      </c>
      <c r="B189" s="30" t="s">
        <v>190</v>
      </c>
      <c r="C189" s="32">
        <v>6</v>
      </c>
      <c r="D189" s="32">
        <v>0</v>
      </c>
    </row>
    <row r="190" spans="1:4" x14ac:dyDescent="0.25">
      <c r="A190" s="32">
        <v>189</v>
      </c>
      <c r="B190" s="30" t="s">
        <v>191</v>
      </c>
      <c r="C190" s="32">
        <v>9</v>
      </c>
      <c r="D190" s="32">
        <v>0</v>
      </c>
    </row>
    <row r="191" spans="1:4" x14ac:dyDescent="0.25">
      <c r="A191" s="32">
        <v>190</v>
      </c>
      <c r="B191" s="30" t="s">
        <v>192</v>
      </c>
      <c r="C191" s="32">
        <v>2</v>
      </c>
      <c r="D191" s="32">
        <v>0</v>
      </c>
    </row>
    <row r="192" spans="1:4" x14ac:dyDescent="0.25">
      <c r="A192" s="32">
        <v>191</v>
      </c>
      <c r="B192" s="30" t="s">
        <v>193</v>
      </c>
      <c r="C192" s="32">
        <v>2</v>
      </c>
      <c r="D192" s="32">
        <v>0</v>
      </c>
    </row>
    <row r="193" spans="1:4" x14ac:dyDescent="0.25">
      <c r="A193" s="32">
        <v>192</v>
      </c>
      <c r="B193" s="30" t="s">
        <v>194</v>
      </c>
      <c r="C193" s="32">
        <v>1</v>
      </c>
      <c r="D193" s="32">
        <v>0</v>
      </c>
    </row>
    <row r="194" spans="1:4" x14ac:dyDescent="0.25">
      <c r="A194" s="32">
        <v>193</v>
      </c>
      <c r="B194" s="30" t="s">
        <v>195</v>
      </c>
      <c r="C194" s="32">
        <v>3</v>
      </c>
      <c r="D194" s="32">
        <v>0</v>
      </c>
    </row>
    <row r="195" spans="1:4" x14ac:dyDescent="0.25">
      <c r="A195" s="32">
        <v>194</v>
      </c>
      <c r="B195" s="30" t="s">
        <v>196</v>
      </c>
      <c r="C195" s="32">
        <v>3</v>
      </c>
      <c r="D195" s="32">
        <v>0</v>
      </c>
    </row>
    <row r="196" spans="1:4" x14ac:dyDescent="0.25">
      <c r="A196" s="32">
        <v>195</v>
      </c>
      <c r="B196" s="30" t="s">
        <v>197</v>
      </c>
      <c r="C196" s="32">
        <v>2</v>
      </c>
      <c r="D196" s="32">
        <v>0</v>
      </c>
    </row>
    <row r="197" spans="1:4" x14ac:dyDescent="0.25">
      <c r="A197" s="32">
        <v>196</v>
      </c>
      <c r="B197" s="30" t="s">
        <v>198</v>
      </c>
      <c r="C197" s="32">
        <v>2</v>
      </c>
      <c r="D197" s="32">
        <v>0</v>
      </c>
    </row>
    <row r="198" spans="1:4" x14ac:dyDescent="0.25">
      <c r="A198" s="32">
        <v>197</v>
      </c>
      <c r="B198" s="30" t="s">
        <v>199</v>
      </c>
      <c r="C198" s="32">
        <v>1</v>
      </c>
      <c r="D198" s="32">
        <v>0</v>
      </c>
    </row>
    <row r="199" spans="1:4" x14ac:dyDescent="0.25">
      <c r="A199" s="32">
        <v>198</v>
      </c>
      <c r="B199" s="30" t="s">
        <v>200</v>
      </c>
      <c r="C199" s="32">
        <v>6</v>
      </c>
      <c r="D199" s="32">
        <v>0</v>
      </c>
    </row>
    <row r="200" spans="1:4" x14ac:dyDescent="0.25">
      <c r="A200" s="32">
        <v>199</v>
      </c>
      <c r="B200" s="30" t="s">
        <v>201</v>
      </c>
      <c r="C200" s="32">
        <v>5</v>
      </c>
      <c r="D200" s="32">
        <v>0</v>
      </c>
    </row>
    <row r="201" spans="1:4" x14ac:dyDescent="0.25">
      <c r="A201" s="32">
        <v>200</v>
      </c>
      <c r="B201" s="30" t="s">
        <v>202</v>
      </c>
      <c r="C201" s="32">
        <v>3</v>
      </c>
      <c r="D201" s="32">
        <v>0</v>
      </c>
    </row>
    <row r="202" spans="1:4" x14ac:dyDescent="0.25">
      <c r="A202" s="32">
        <v>201</v>
      </c>
      <c r="B202" s="30" t="s">
        <v>203</v>
      </c>
      <c r="C202" s="32">
        <v>12</v>
      </c>
      <c r="D202" s="32">
        <v>0</v>
      </c>
    </row>
    <row r="203" spans="1:4" x14ac:dyDescent="0.25">
      <c r="A203" s="32">
        <v>202</v>
      </c>
      <c r="B203" s="30" t="s">
        <v>204</v>
      </c>
      <c r="C203" s="32">
        <v>2</v>
      </c>
      <c r="D203" s="32">
        <v>0</v>
      </c>
    </row>
    <row r="204" spans="1:4" x14ac:dyDescent="0.25">
      <c r="A204" s="32">
        <v>203</v>
      </c>
      <c r="B204" s="30" t="s">
        <v>205</v>
      </c>
      <c r="C204" s="32">
        <v>8</v>
      </c>
      <c r="D204" s="32">
        <v>3</v>
      </c>
    </row>
    <row r="205" spans="1:4" x14ac:dyDescent="0.25">
      <c r="A205" s="32">
        <v>204</v>
      </c>
      <c r="B205" s="30" t="s">
        <v>206</v>
      </c>
      <c r="C205" s="32">
        <v>2</v>
      </c>
      <c r="D205" s="32">
        <v>1</v>
      </c>
    </row>
    <row r="206" spans="1:4" x14ac:dyDescent="0.25">
      <c r="A206" s="32">
        <v>205</v>
      </c>
      <c r="B206" s="30" t="s">
        <v>207</v>
      </c>
      <c r="C206" s="32">
        <v>3</v>
      </c>
      <c r="D206" s="32">
        <v>0</v>
      </c>
    </row>
    <row r="207" spans="1:4" x14ac:dyDescent="0.25">
      <c r="A207" s="32">
        <v>206</v>
      </c>
      <c r="B207" s="30" t="s">
        <v>208</v>
      </c>
      <c r="C207" s="32">
        <v>3</v>
      </c>
      <c r="D207" s="32">
        <v>0</v>
      </c>
    </row>
    <row r="208" spans="1:4" x14ac:dyDescent="0.25">
      <c r="A208" s="32">
        <v>207</v>
      </c>
      <c r="B208" s="30" t="s">
        <v>209</v>
      </c>
      <c r="C208" s="32">
        <v>4</v>
      </c>
      <c r="D208" s="32">
        <v>0</v>
      </c>
    </row>
    <row r="209" spans="1:4" x14ac:dyDescent="0.25">
      <c r="A209" s="32">
        <v>208</v>
      </c>
      <c r="B209" s="30" t="s">
        <v>210</v>
      </c>
      <c r="C209" s="32">
        <v>2</v>
      </c>
      <c r="D209" s="32">
        <v>0</v>
      </c>
    </row>
    <row r="210" spans="1:4" x14ac:dyDescent="0.25">
      <c r="A210" s="32">
        <v>209</v>
      </c>
      <c r="B210" s="30" t="s">
        <v>211</v>
      </c>
      <c r="C210" s="32">
        <v>2</v>
      </c>
      <c r="D210" s="32">
        <v>0</v>
      </c>
    </row>
    <row r="211" spans="1:4" x14ac:dyDescent="0.25">
      <c r="A211" s="32">
        <v>210</v>
      </c>
      <c r="B211" s="30" t="s">
        <v>212</v>
      </c>
      <c r="C211" s="32">
        <v>2</v>
      </c>
      <c r="D211" s="32">
        <v>0</v>
      </c>
    </row>
    <row r="212" spans="1:4" x14ac:dyDescent="0.25">
      <c r="A212" s="32">
        <v>211</v>
      </c>
      <c r="B212" s="30" t="s">
        <v>213</v>
      </c>
      <c r="C212" s="32">
        <v>3</v>
      </c>
      <c r="D212" s="32">
        <v>0</v>
      </c>
    </row>
    <row r="213" spans="1:4" x14ac:dyDescent="0.25">
      <c r="A213" s="32">
        <v>212</v>
      </c>
      <c r="B213" s="30" t="s">
        <v>214</v>
      </c>
      <c r="C213" s="32">
        <v>1</v>
      </c>
      <c r="D213" s="32">
        <v>1</v>
      </c>
    </row>
    <row r="214" spans="1:4" x14ac:dyDescent="0.25">
      <c r="A214" s="32">
        <v>213</v>
      </c>
      <c r="B214" s="30" t="s">
        <v>215</v>
      </c>
      <c r="C214" s="32">
        <v>13</v>
      </c>
      <c r="D214" s="32">
        <v>2</v>
      </c>
    </row>
    <row r="215" spans="1:4" x14ac:dyDescent="0.25">
      <c r="A215" s="32">
        <v>214</v>
      </c>
      <c r="B215" s="30" t="s">
        <v>216</v>
      </c>
      <c r="C215" s="32">
        <v>1</v>
      </c>
      <c r="D215" s="32">
        <v>0</v>
      </c>
    </row>
    <row r="216" spans="1:4" x14ac:dyDescent="0.25">
      <c r="A216" s="32">
        <v>215</v>
      </c>
      <c r="B216" s="30" t="s">
        <v>217</v>
      </c>
      <c r="C216" s="32">
        <v>5</v>
      </c>
      <c r="D216" s="32">
        <v>3</v>
      </c>
    </row>
    <row r="217" spans="1:4" x14ac:dyDescent="0.25">
      <c r="A217" s="32">
        <v>216</v>
      </c>
      <c r="B217" s="30" t="s">
        <v>218</v>
      </c>
      <c r="C217" s="32">
        <v>1</v>
      </c>
      <c r="D217" s="32">
        <v>1</v>
      </c>
    </row>
    <row r="218" spans="1:4" x14ac:dyDescent="0.25">
      <c r="A218" s="32">
        <v>217</v>
      </c>
      <c r="B218" s="30" t="s">
        <v>219</v>
      </c>
      <c r="C218" s="32">
        <v>3</v>
      </c>
      <c r="D218" s="32">
        <v>1</v>
      </c>
    </row>
    <row r="219" spans="1:4" x14ac:dyDescent="0.25">
      <c r="A219" s="32">
        <v>218</v>
      </c>
      <c r="B219" s="30" t="s">
        <v>220</v>
      </c>
      <c r="C219" s="32">
        <v>1</v>
      </c>
      <c r="D219" s="32">
        <v>0</v>
      </c>
    </row>
    <row r="220" spans="1:4" x14ac:dyDescent="0.25">
      <c r="A220" s="32">
        <v>219</v>
      </c>
      <c r="B220" s="30" t="s">
        <v>221</v>
      </c>
      <c r="C220" s="32">
        <v>1</v>
      </c>
      <c r="D220" s="32">
        <v>0</v>
      </c>
    </row>
    <row r="221" spans="1:4" x14ac:dyDescent="0.25">
      <c r="A221" s="32">
        <v>220</v>
      </c>
      <c r="B221" s="30" t="s">
        <v>222</v>
      </c>
      <c r="C221" s="32">
        <v>1</v>
      </c>
      <c r="D221" s="32">
        <v>0</v>
      </c>
    </row>
    <row r="222" spans="1:4" x14ac:dyDescent="0.25">
      <c r="A222" s="32">
        <v>221</v>
      </c>
      <c r="B222" s="30" t="s">
        <v>223</v>
      </c>
      <c r="C222" s="32">
        <v>4</v>
      </c>
      <c r="D222" s="32">
        <v>0</v>
      </c>
    </row>
    <row r="223" spans="1:4" x14ac:dyDescent="0.25">
      <c r="A223" s="32">
        <v>222</v>
      </c>
      <c r="B223" s="30" t="s">
        <v>224</v>
      </c>
      <c r="C223" s="32">
        <v>2</v>
      </c>
      <c r="D223" s="32">
        <v>1</v>
      </c>
    </row>
    <row r="224" spans="1:4" x14ac:dyDescent="0.25">
      <c r="A224" s="32">
        <v>223</v>
      </c>
      <c r="B224" s="30" t="s">
        <v>225</v>
      </c>
      <c r="C224" s="32">
        <v>7</v>
      </c>
      <c r="D224" s="32">
        <v>0</v>
      </c>
    </row>
    <row r="225" spans="1:5" x14ac:dyDescent="0.25">
      <c r="A225" s="32">
        <v>224</v>
      </c>
      <c r="B225" s="30" t="s">
        <v>226</v>
      </c>
      <c r="C225" s="32">
        <v>5</v>
      </c>
      <c r="D225" s="32">
        <v>0</v>
      </c>
    </row>
    <row r="226" spans="1:5" x14ac:dyDescent="0.25">
      <c r="A226" s="32">
        <v>225</v>
      </c>
      <c r="B226" s="30" t="s">
        <v>297</v>
      </c>
      <c r="C226" s="32">
        <f>6+5</f>
        <v>11</v>
      </c>
      <c r="D226" s="32">
        <f>(5/2)+3</f>
        <v>5.5</v>
      </c>
      <c r="E226" s="33">
        <f>((5/6/2)+(3/5))/2</f>
        <v>0.5083333333333333</v>
      </c>
    </row>
    <row r="227" spans="1:5" x14ac:dyDescent="0.25">
      <c r="A227" s="32">
        <v>226</v>
      </c>
      <c r="B227" s="30" t="s">
        <v>228</v>
      </c>
      <c r="C227" s="32">
        <v>2</v>
      </c>
      <c r="D227" s="32">
        <v>0</v>
      </c>
    </row>
    <row r="228" spans="1:5" x14ac:dyDescent="0.25">
      <c r="A228" s="32">
        <v>227</v>
      </c>
      <c r="B228" s="30" t="s">
        <v>296</v>
      </c>
      <c r="C228" s="32">
        <f>44+5</f>
        <v>49</v>
      </c>
      <c r="D228" s="32">
        <f>(32/2)+2</f>
        <v>18</v>
      </c>
      <c r="E228" s="33">
        <f>((32/44/2)+(2/5))/2</f>
        <v>0.38181818181818183</v>
      </c>
    </row>
    <row r="229" spans="1:5" x14ac:dyDescent="0.25">
      <c r="A229" s="32">
        <v>228</v>
      </c>
      <c r="B229" s="30" t="s">
        <v>230</v>
      </c>
      <c r="C229" s="32">
        <v>4</v>
      </c>
      <c r="D229" s="32">
        <v>2</v>
      </c>
    </row>
    <row r="230" spans="1:5" x14ac:dyDescent="0.25">
      <c r="A230" s="32">
        <v>229</v>
      </c>
      <c r="B230" s="30" t="s">
        <v>231</v>
      </c>
      <c r="C230" s="32">
        <v>6</v>
      </c>
      <c r="D230" s="32">
        <v>0</v>
      </c>
    </row>
    <row r="231" spans="1:5" x14ac:dyDescent="0.25">
      <c r="A231" s="32">
        <v>230</v>
      </c>
      <c r="B231" s="30" t="s">
        <v>232</v>
      </c>
      <c r="C231" s="32">
        <v>12</v>
      </c>
      <c r="D231" s="32">
        <v>2</v>
      </c>
    </row>
    <row r="232" spans="1:5" x14ac:dyDescent="0.25">
      <c r="A232" s="32">
        <v>231</v>
      </c>
      <c r="B232" s="30" t="s">
        <v>233</v>
      </c>
      <c r="C232" s="32">
        <v>3</v>
      </c>
      <c r="D232" s="32">
        <v>1</v>
      </c>
    </row>
    <row r="233" spans="1:5" x14ac:dyDescent="0.25">
      <c r="A233" s="32">
        <v>232</v>
      </c>
      <c r="B233" s="30" t="s">
        <v>234</v>
      </c>
      <c r="C233" s="32">
        <v>3</v>
      </c>
      <c r="D233" s="32">
        <v>1</v>
      </c>
    </row>
    <row r="234" spans="1:5" x14ac:dyDescent="0.25">
      <c r="A234" s="32">
        <v>233</v>
      </c>
      <c r="B234" s="30" t="s">
        <v>235</v>
      </c>
      <c r="C234" s="32">
        <v>15</v>
      </c>
      <c r="D234" s="32">
        <v>4</v>
      </c>
    </row>
    <row r="235" spans="1:5" x14ac:dyDescent="0.25">
      <c r="A235" s="32">
        <v>234</v>
      </c>
      <c r="B235" s="30" t="s">
        <v>295</v>
      </c>
      <c r="C235" s="32">
        <f>259+0</f>
        <v>259</v>
      </c>
      <c r="D235" s="32">
        <f>(24/2)+0</f>
        <v>12</v>
      </c>
      <c r="E235" s="33">
        <f>((24/259/2)+0)/2</f>
        <v>2.3166023166023165E-2</v>
      </c>
    </row>
    <row r="236" spans="1:5" x14ac:dyDescent="0.25">
      <c r="A236" s="32">
        <v>235</v>
      </c>
      <c r="B236" s="30" t="s">
        <v>237</v>
      </c>
      <c r="C236" s="32">
        <v>2</v>
      </c>
      <c r="D236" s="32">
        <v>1</v>
      </c>
    </row>
    <row r="237" spans="1:5" x14ac:dyDescent="0.25">
      <c r="A237" s="32">
        <v>236</v>
      </c>
      <c r="B237" s="30" t="s">
        <v>238</v>
      </c>
      <c r="C237" s="32">
        <v>5</v>
      </c>
      <c r="D237" s="32">
        <v>0</v>
      </c>
    </row>
    <row r="238" spans="1:5" x14ac:dyDescent="0.25">
      <c r="A238" s="32">
        <v>237</v>
      </c>
      <c r="B238" s="30" t="s">
        <v>293</v>
      </c>
      <c r="C238" s="32">
        <f>81+0</f>
        <v>81</v>
      </c>
      <c r="D238" s="32">
        <f>(14/2)+0</f>
        <v>7</v>
      </c>
      <c r="E238" s="33">
        <f>((14/81/2)+0)/2</f>
        <v>4.3209876543209874E-2</v>
      </c>
    </row>
    <row r="239" spans="1:5" x14ac:dyDescent="0.25">
      <c r="A239" s="32">
        <v>238</v>
      </c>
      <c r="B239" s="30" t="s">
        <v>294</v>
      </c>
      <c r="C239" s="32">
        <f>35+16</f>
        <v>51</v>
      </c>
      <c r="D239" s="32">
        <f>(22/2)+1</f>
        <v>12</v>
      </c>
      <c r="E239" s="33">
        <f>((22/35/2)+(1/16))/2</f>
        <v>0.18839285714285714</v>
      </c>
    </row>
    <row r="240" spans="1:5" x14ac:dyDescent="0.25">
      <c r="A240" s="32">
        <v>239</v>
      </c>
      <c r="B240" s="30" t="s">
        <v>241</v>
      </c>
      <c r="C240" s="32">
        <v>2</v>
      </c>
      <c r="D240" s="32">
        <v>0</v>
      </c>
    </row>
    <row r="241" spans="1:4" x14ac:dyDescent="0.25">
      <c r="A241" s="32">
        <v>240</v>
      </c>
      <c r="B241" s="30" t="s">
        <v>242</v>
      </c>
      <c r="C241" s="32">
        <v>3</v>
      </c>
      <c r="D241" s="32">
        <v>1</v>
      </c>
    </row>
    <row r="242" spans="1:4" x14ac:dyDescent="0.25">
      <c r="A242" s="32">
        <v>241</v>
      </c>
      <c r="B242" s="30" t="s">
        <v>243</v>
      </c>
      <c r="C242" s="32">
        <v>14</v>
      </c>
      <c r="D242" s="32">
        <v>3</v>
      </c>
    </row>
    <row r="243" spans="1:4" x14ac:dyDescent="0.25">
      <c r="A243" s="32">
        <v>242</v>
      </c>
      <c r="B243" s="30" t="s">
        <v>244</v>
      </c>
      <c r="C243" s="32">
        <v>4</v>
      </c>
      <c r="D243" s="32">
        <v>1</v>
      </c>
    </row>
    <row r="244" spans="1:4" x14ac:dyDescent="0.25">
      <c r="A244" s="32">
        <v>243</v>
      </c>
      <c r="B244" s="30" t="s">
        <v>245</v>
      </c>
      <c r="C244" s="32">
        <v>12</v>
      </c>
      <c r="D244" s="32">
        <v>0</v>
      </c>
    </row>
    <row r="245" spans="1:4" x14ac:dyDescent="0.25">
      <c r="A245" s="32">
        <v>244</v>
      </c>
      <c r="B245" s="30" t="s">
        <v>246</v>
      </c>
      <c r="C245" s="32">
        <v>5</v>
      </c>
      <c r="D245" s="32">
        <v>0</v>
      </c>
    </row>
    <row r="246" spans="1:4" x14ac:dyDescent="0.25">
      <c r="A246" s="32">
        <v>245</v>
      </c>
      <c r="B246" s="30" t="s">
        <v>247</v>
      </c>
      <c r="C246" s="32">
        <v>3</v>
      </c>
      <c r="D246" s="32">
        <v>0</v>
      </c>
    </row>
    <row r="247" spans="1:4" x14ac:dyDescent="0.25">
      <c r="A247" s="32">
        <v>246</v>
      </c>
      <c r="B247" s="30" t="s">
        <v>248</v>
      </c>
      <c r="C247" s="32">
        <v>4</v>
      </c>
      <c r="D247" s="32">
        <v>0</v>
      </c>
    </row>
    <row r="248" spans="1:4" x14ac:dyDescent="0.25">
      <c r="A248" s="32">
        <v>247</v>
      </c>
      <c r="B248" s="30" t="s">
        <v>249</v>
      </c>
      <c r="C248" s="32">
        <v>2</v>
      </c>
      <c r="D248" s="32">
        <v>0</v>
      </c>
    </row>
    <row r="249" spans="1:4" x14ac:dyDescent="0.25">
      <c r="A249" s="32">
        <v>248</v>
      </c>
      <c r="B249" s="30" t="s">
        <v>250</v>
      </c>
      <c r="C249" s="32">
        <v>6</v>
      </c>
      <c r="D249" s="32">
        <v>0</v>
      </c>
    </row>
    <row r="250" spans="1:4" x14ac:dyDescent="0.25">
      <c r="A250" s="32">
        <v>249</v>
      </c>
      <c r="B250" s="30" t="s">
        <v>251</v>
      </c>
      <c r="C250" s="32">
        <v>4</v>
      </c>
      <c r="D250" s="32">
        <v>0</v>
      </c>
    </row>
    <row r="251" spans="1:4" x14ac:dyDescent="0.25">
      <c r="A251" s="32">
        <v>250</v>
      </c>
      <c r="B251" s="30" t="s">
        <v>252</v>
      </c>
      <c r="C251" s="32">
        <v>2</v>
      </c>
      <c r="D251" s="32">
        <v>0</v>
      </c>
    </row>
    <row r="252" spans="1:4" x14ac:dyDescent="0.25">
      <c r="A252" s="32">
        <v>251</v>
      </c>
      <c r="B252" s="30" t="s">
        <v>253</v>
      </c>
      <c r="C252" s="32">
        <v>5</v>
      </c>
      <c r="D252" s="32">
        <v>1</v>
      </c>
    </row>
    <row r="253" spans="1:4" x14ac:dyDescent="0.25">
      <c r="A253" s="32">
        <v>252</v>
      </c>
      <c r="B253" s="30" t="s">
        <v>254</v>
      </c>
      <c r="C253" s="32">
        <v>3</v>
      </c>
      <c r="D253" s="32">
        <v>1</v>
      </c>
    </row>
    <row r="254" spans="1:4" x14ac:dyDescent="0.25">
      <c r="A254" s="32">
        <v>253</v>
      </c>
      <c r="B254" s="30" t="s">
        <v>255</v>
      </c>
      <c r="C254" s="32">
        <v>4</v>
      </c>
      <c r="D254" s="32">
        <v>1</v>
      </c>
    </row>
    <row r="255" spans="1:4" x14ac:dyDescent="0.25">
      <c r="A255" s="32">
        <v>254</v>
      </c>
      <c r="B255" s="30" t="s">
        <v>256</v>
      </c>
      <c r="C255" s="32">
        <v>2</v>
      </c>
      <c r="D255" s="32">
        <v>0</v>
      </c>
    </row>
    <row r="256" spans="1:4" x14ac:dyDescent="0.25">
      <c r="A256" s="32">
        <v>255</v>
      </c>
      <c r="B256" s="30" t="s">
        <v>257</v>
      </c>
      <c r="C256" s="32">
        <v>2</v>
      </c>
      <c r="D256" s="32">
        <v>0</v>
      </c>
    </row>
    <row r="257" spans="1:5" x14ac:dyDescent="0.25">
      <c r="A257" s="32">
        <v>256</v>
      </c>
      <c r="B257" s="30" t="s">
        <v>258</v>
      </c>
      <c r="C257" s="32">
        <v>2</v>
      </c>
      <c r="D257" s="32">
        <v>0</v>
      </c>
    </row>
    <row r="258" spans="1:5" x14ac:dyDescent="0.25">
      <c r="A258" s="32">
        <v>257</v>
      </c>
      <c r="B258" s="30" t="s">
        <v>259</v>
      </c>
      <c r="C258" s="32">
        <v>3</v>
      </c>
      <c r="D258" s="32">
        <v>1</v>
      </c>
    </row>
    <row r="259" spans="1:5" x14ac:dyDescent="0.25">
      <c r="A259" s="32">
        <v>258</v>
      </c>
      <c r="B259" s="30" t="s">
        <v>260</v>
      </c>
      <c r="C259" s="32">
        <v>3</v>
      </c>
      <c r="D259" s="32">
        <v>0</v>
      </c>
    </row>
    <row r="260" spans="1:5" x14ac:dyDescent="0.25">
      <c r="A260" s="32">
        <v>259</v>
      </c>
      <c r="B260" s="30" t="s">
        <v>261</v>
      </c>
      <c r="C260" s="32">
        <v>2</v>
      </c>
      <c r="D260" s="32">
        <v>0</v>
      </c>
    </row>
    <row r="261" spans="1:5" x14ac:dyDescent="0.25">
      <c r="A261" s="32">
        <v>260</v>
      </c>
      <c r="B261" s="30" t="s">
        <v>262</v>
      </c>
      <c r="C261" s="32">
        <v>1</v>
      </c>
      <c r="D261" s="32">
        <v>1</v>
      </c>
    </row>
    <row r="262" spans="1:5" x14ac:dyDescent="0.25">
      <c r="A262" s="32">
        <v>261</v>
      </c>
      <c r="B262" s="30" t="s">
        <v>263</v>
      </c>
      <c r="C262" s="32">
        <v>6</v>
      </c>
      <c r="D262" s="32">
        <v>0</v>
      </c>
    </row>
    <row r="263" spans="1:5" x14ac:dyDescent="0.25">
      <c r="A263" s="32">
        <v>262</v>
      </c>
      <c r="B263" s="30" t="s">
        <v>264</v>
      </c>
      <c r="C263" s="32">
        <v>6</v>
      </c>
      <c r="D263" s="32">
        <v>2</v>
      </c>
    </row>
    <row r="264" spans="1:5" x14ac:dyDescent="0.25">
      <c r="A264" s="32">
        <v>263</v>
      </c>
      <c r="B264" s="30" t="s">
        <v>265</v>
      </c>
      <c r="C264" s="32">
        <v>9</v>
      </c>
      <c r="D264" s="32">
        <v>2</v>
      </c>
    </row>
    <row r="265" spans="1:5" x14ac:dyDescent="0.25">
      <c r="A265" s="32">
        <v>264</v>
      </c>
      <c r="B265" s="30" t="s">
        <v>266</v>
      </c>
      <c r="C265" s="32">
        <v>4</v>
      </c>
      <c r="D265" s="32">
        <v>1</v>
      </c>
    </row>
    <row r="266" spans="1:5" x14ac:dyDescent="0.25">
      <c r="A266" s="32">
        <v>265</v>
      </c>
      <c r="B266" s="30" t="s">
        <v>267</v>
      </c>
      <c r="C266" s="32">
        <v>5</v>
      </c>
      <c r="D266" s="32">
        <v>5</v>
      </c>
    </row>
    <row r="267" spans="1:5" x14ac:dyDescent="0.25">
      <c r="A267" s="32">
        <v>266</v>
      </c>
      <c r="B267" s="30" t="s">
        <v>268</v>
      </c>
      <c r="C267" s="32">
        <v>2</v>
      </c>
      <c r="D267" s="32">
        <v>0</v>
      </c>
    </row>
    <row r="268" spans="1:5" x14ac:dyDescent="0.25">
      <c r="A268" s="32">
        <v>267</v>
      </c>
      <c r="B268" s="30" t="s">
        <v>269</v>
      </c>
      <c r="C268" s="32">
        <v>1</v>
      </c>
      <c r="D268" s="32">
        <v>0</v>
      </c>
    </row>
    <row r="269" spans="1:5" x14ac:dyDescent="0.25">
      <c r="A269" s="32">
        <v>268</v>
      </c>
      <c r="B269" s="30" t="s">
        <v>270</v>
      </c>
      <c r="C269" s="32">
        <v>1</v>
      </c>
      <c r="D269" s="32">
        <v>0</v>
      </c>
    </row>
    <row r="270" spans="1:5" x14ac:dyDescent="0.25">
      <c r="A270" s="32">
        <v>269</v>
      </c>
      <c r="B270" s="30" t="s">
        <v>292</v>
      </c>
      <c r="C270" s="32">
        <f>22+0</f>
        <v>22</v>
      </c>
      <c r="D270" s="32">
        <f>(17/2)+0</f>
        <v>8.5</v>
      </c>
      <c r="E270" s="33">
        <f>((17/22/2)+0)/2</f>
        <v>0.19318181818181818</v>
      </c>
    </row>
    <row r="271" spans="1:5" x14ac:dyDescent="0.25">
      <c r="A271" s="32">
        <v>270</v>
      </c>
      <c r="B271" s="30" t="s">
        <v>272</v>
      </c>
      <c r="C271" s="32">
        <v>2</v>
      </c>
      <c r="D271" s="32">
        <v>0</v>
      </c>
    </row>
    <row r="272" spans="1:5" x14ac:dyDescent="0.25">
      <c r="A272" s="32">
        <v>271</v>
      </c>
      <c r="B272" s="30" t="s">
        <v>273</v>
      </c>
      <c r="C272" s="32">
        <v>2</v>
      </c>
      <c r="D272" s="32">
        <v>0</v>
      </c>
    </row>
    <row r="273" spans="1:5" x14ac:dyDescent="0.25">
      <c r="A273" s="32">
        <v>272</v>
      </c>
      <c r="B273" s="30" t="s">
        <v>274</v>
      </c>
      <c r="C273" s="32">
        <v>1</v>
      </c>
      <c r="D273" s="32">
        <v>1</v>
      </c>
    </row>
    <row r="274" spans="1:5" x14ac:dyDescent="0.25">
      <c r="A274" s="32">
        <v>273</v>
      </c>
      <c r="B274" s="30" t="s">
        <v>275</v>
      </c>
      <c r="C274" s="32">
        <v>1</v>
      </c>
      <c r="D274" s="32">
        <v>1</v>
      </c>
    </row>
    <row r="275" spans="1:5" x14ac:dyDescent="0.25">
      <c r="A275" s="32">
        <v>274</v>
      </c>
      <c r="B275" s="30" t="s">
        <v>276</v>
      </c>
      <c r="C275" s="32">
        <v>1</v>
      </c>
      <c r="D275" s="32">
        <v>0</v>
      </c>
    </row>
    <row r="276" spans="1:5" x14ac:dyDescent="0.25">
      <c r="A276" s="32">
        <v>275</v>
      </c>
      <c r="B276" s="30" t="s">
        <v>277</v>
      </c>
      <c r="C276" s="32">
        <v>2</v>
      </c>
      <c r="D276" s="32">
        <v>1</v>
      </c>
    </row>
    <row r="277" spans="1:5" x14ac:dyDescent="0.25">
      <c r="A277" s="32">
        <v>276</v>
      </c>
      <c r="B277" s="30" t="s">
        <v>278</v>
      </c>
      <c r="C277" s="32">
        <v>2</v>
      </c>
      <c r="D277" s="32">
        <v>1</v>
      </c>
    </row>
    <row r="278" spans="1:5" x14ac:dyDescent="0.25">
      <c r="A278" s="32">
        <v>277</v>
      </c>
      <c r="B278" s="30" t="s">
        <v>279</v>
      </c>
      <c r="C278" s="32">
        <v>1</v>
      </c>
      <c r="D278" s="32">
        <v>0</v>
      </c>
    </row>
    <row r="279" spans="1:5" x14ac:dyDescent="0.25">
      <c r="A279" s="32">
        <v>278</v>
      </c>
      <c r="B279" s="30" t="s">
        <v>280</v>
      </c>
      <c r="C279" s="32">
        <v>3</v>
      </c>
      <c r="D279" s="32">
        <v>0</v>
      </c>
    </row>
    <row r="280" spans="1:5" x14ac:dyDescent="0.25">
      <c r="A280" s="32">
        <v>279</v>
      </c>
      <c r="B280" s="30" t="s">
        <v>281</v>
      </c>
      <c r="C280" s="32">
        <v>1</v>
      </c>
      <c r="D280" s="32">
        <v>0</v>
      </c>
    </row>
    <row r="281" spans="1:5" x14ac:dyDescent="0.25">
      <c r="A281" s="32">
        <v>280</v>
      </c>
      <c r="B281" s="30" t="s">
        <v>282</v>
      </c>
      <c r="C281" s="32">
        <v>3</v>
      </c>
      <c r="D281" s="32">
        <v>0</v>
      </c>
    </row>
    <row r="282" spans="1:5" x14ac:dyDescent="0.25">
      <c r="A282" s="32">
        <v>281</v>
      </c>
      <c r="B282" s="30" t="s">
        <v>283</v>
      </c>
      <c r="C282" s="32">
        <v>5</v>
      </c>
      <c r="D282" s="32">
        <v>0</v>
      </c>
    </row>
    <row r="283" spans="1:5" x14ac:dyDescent="0.25">
      <c r="A283" s="32">
        <v>282</v>
      </c>
      <c r="B283" s="30" t="s">
        <v>284</v>
      </c>
      <c r="C283" s="32">
        <v>3</v>
      </c>
      <c r="D283" s="32">
        <v>0</v>
      </c>
    </row>
    <row r="284" spans="1:5" x14ac:dyDescent="0.25">
      <c r="A284" s="32">
        <v>283</v>
      </c>
      <c r="B284" s="30" t="s">
        <v>285</v>
      </c>
      <c r="C284" s="32">
        <v>2</v>
      </c>
      <c r="D284" s="32">
        <v>0</v>
      </c>
    </row>
    <row r="285" spans="1:5" x14ac:dyDescent="0.25">
      <c r="A285" s="32">
        <v>284</v>
      </c>
      <c r="B285" s="30" t="s">
        <v>298</v>
      </c>
      <c r="C285" s="32">
        <f>6+5</f>
        <v>11</v>
      </c>
      <c r="D285" s="32">
        <f>(5/2)+1</f>
        <v>3.5</v>
      </c>
      <c r="E285" s="33">
        <f>((5/6/2)+(1/5))/2</f>
        <v>0.30833333333333335</v>
      </c>
    </row>
    <row r="286" spans="1:5" x14ac:dyDescent="0.25">
      <c r="A286" s="32">
        <v>285</v>
      </c>
      <c r="B286" s="30" t="s">
        <v>287</v>
      </c>
      <c r="C286" s="32">
        <v>13</v>
      </c>
      <c r="D286" s="32">
        <v>6</v>
      </c>
    </row>
    <row r="287" spans="1:5" x14ac:dyDescent="0.25">
      <c r="A287" s="32">
        <v>286</v>
      </c>
      <c r="B287" s="30" t="s">
        <v>288</v>
      </c>
      <c r="C287" s="32">
        <v>16</v>
      </c>
      <c r="D287" s="32">
        <v>3</v>
      </c>
    </row>
    <row r="288" spans="1:5" x14ac:dyDescent="0.25">
      <c r="A288" s="32">
        <v>287</v>
      </c>
      <c r="B288" s="30" t="s">
        <v>289</v>
      </c>
      <c r="C288" s="32">
        <v>5</v>
      </c>
      <c r="D288" s="32">
        <v>0</v>
      </c>
    </row>
    <row r="289" spans="1:4" x14ac:dyDescent="0.25">
      <c r="A289" s="32">
        <v>288</v>
      </c>
      <c r="B289" s="30" t="s">
        <v>290</v>
      </c>
      <c r="C289" s="32">
        <v>4</v>
      </c>
      <c r="D289" s="32">
        <v>0</v>
      </c>
    </row>
    <row r="290" spans="1:4" x14ac:dyDescent="0.25">
      <c r="A290" s="32">
        <v>289</v>
      </c>
      <c r="B290" s="30" t="s">
        <v>291</v>
      </c>
      <c r="C290" s="32">
        <v>6</v>
      </c>
      <c r="D290" s="32">
        <v>0</v>
      </c>
    </row>
  </sheetData>
  <autoFilter ref="A1:E290" xr:uid="{FBF360A3-18C6-48C9-B827-F528CF4178B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8385-F79D-44E8-974F-45BD51C04AA9}">
  <sheetPr codeName="Sheet3"/>
  <dimension ref="A1:D290"/>
  <sheetViews>
    <sheetView workbookViewId="0">
      <selection activeCell="D270" sqref="D270"/>
    </sheetView>
  </sheetViews>
  <sheetFormatPr defaultRowHeight="14.5" x14ac:dyDescent="0.35"/>
  <cols>
    <col min="1" max="1" width="6" customWidth="1"/>
    <col min="2" max="2" width="71.453125" bestFit="1" customWidth="1"/>
    <col min="3" max="3" width="24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t="s">
        <v>3</v>
      </c>
      <c r="C2" s="3">
        <v>0</v>
      </c>
    </row>
    <row r="3" spans="1:3" x14ac:dyDescent="0.35">
      <c r="A3" s="2">
        <v>2</v>
      </c>
      <c r="B3" t="s">
        <v>4</v>
      </c>
      <c r="C3" s="3">
        <v>0</v>
      </c>
    </row>
    <row r="4" spans="1:3" x14ac:dyDescent="0.35">
      <c r="A4" s="2">
        <v>3</v>
      </c>
      <c r="B4" t="s">
        <v>5</v>
      </c>
      <c r="C4" s="3">
        <v>0</v>
      </c>
    </row>
    <row r="5" spans="1:3" x14ac:dyDescent="0.35">
      <c r="A5" s="2">
        <v>4</v>
      </c>
      <c r="B5" t="s">
        <v>6</v>
      </c>
      <c r="C5" s="3">
        <v>0.2</v>
      </c>
    </row>
    <row r="6" spans="1:3" x14ac:dyDescent="0.35">
      <c r="A6" s="2">
        <v>5</v>
      </c>
      <c r="B6" t="s">
        <v>7</v>
      </c>
      <c r="C6" s="3">
        <v>0</v>
      </c>
    </row>
    <row r="7" spans="1:3" x14ac:dyDescent="0.35">
      <c r="A7" s="2">
        <v>6</v>
      </c>
      <c r="B7" t="s">
        <v>8</v>
      </c>
      <c r="C7" s="3">
        <v>0.33300000000000002</v>
      </c>
    </row>
    <row r="8" spans="1:3" x14ac:dyDescent="0.35">
      <c r="A8" s="2">
        <v>7</v>
      </c>
      <c r="B8" t="s">
        <v>9</v>
      </c>
      <c r="C8" s="3">
        <v>0</v>
      </c>
    </row>
    <row r="9" spans="1:3" x14ac:dyDescent="0.35">
      <c r="A9" s="2">
        <v>8</v>
      </c>
      <c r="B9" t="s">
        <v>10</v>
      </c>
      <c r="C9" s="3">
        <v>0</v>
      </c>
    </row>
    <row r="10" spans="1:3" x14ac:dyDescent="0.35">
      <c r="A10" s="2">
        <v>9</v>
      </c>
      <c r="B10" t="s">
        <v>11</v>
      </c>
      <c r="C10" s="3">
        <v>0</v>
      </c>
    </row>
    <row r="11" spans="1:3" x14ac:dyDescent="0.35">
      <c r="A11" s="2">
        <v>10</v>
      </c>
      <c r="B11" t="s">
        <v>12</v>
      </c>
      <c r="C11" s="3">
        <v>0</v>
      </c>
    </row>
    <row r="12" spans="1:3" x14ac:dyDescent="0.35">
      <c r="A12" s="2">
        <v>11</v>
      </c>
      <c r="B12" t="s">
        <v>13</v>
      </c>
      <c r="C12" s="3">
        <v>0.16700000000000001</v>
      </c>
    </row>
    <row r="13" spans="1:3" x14ac:dyDescent="0.35">
      <c r="A13" s="2">
        <v>12</v>
      </c>
      <c r="B13" t="s">
        <v>14</v>
      </c>
      <c r="C13" s="3">
        <v>0</v>
      </c>
    </row>
    <row r="14" spans="1:3" x14ac:dyDescent="0.35">
      <c r="A14" s="2">
        <v>13</v>
      </c>
      <c r="B14" t="s">
        <v>15</v>
      </c>
      <c r="C14" s="3">
        <v>0</v>
      </c>
    </row>
    <row r="15" spans="1:3" x14ac:dyDescent="0.35">
      <c r="A15" s="2">
        <v>14</v>
      </c>
      <c r="B15" t="s">
        <v>16</v>
      </c>
      <c r="C15" s="3">
        <v>0.28599999999999998</v>
      </c>
    </row>
    <row r="16" spans="1:3" x14ac:dyDescent="0.35">
      <c r="A16" s="2">
        <v>15</v>
      </c>
      <c r="B16" t="s">
        <v>17</v>
      </c>
      <c r="C16" s="3">
        <v>7.6999999999999999E-2</v>
      </c>
    </row>
    <row r="17" spans="1:3" x14ac:dyDescent="0.35">
      <c r="A17" s="2">
        <v>16</v>
      </c>
      <c r="B17" t="s">
        <v>18</v>
      </c>
      <c r="C17" s="3">
        <v>0.25</v>
      </c>
    </row>
    <row r="18" spans="1:3" x14ac:dyDescent="0.35">
      <c r="A18" s="2">
        <v>17</v>
      </c>
      <c r="B18" t="s">
        <v>19</v>
      </c>
      <c r="C18" s="3">
        <v>0.4</v>
      </c>
    </row>
    <row r="19" spans="1:3" x14ac:dyDescent="0.35">
      <c r="A19" s="2">
        <v>18</v>
      </c>
      <c r="B19" t="s">
        <v>20</v>
      </c>
      <c r="C19" s="3">
        <v>0</v>
      </c>
    </row>
    <row r="20" spans="1:3" x14ac:dyDescent="0.35">
      <c r="A20" s="2">
        <v>19</v>
      </c>
      <c r="B20" t="s">
        <v>21</v>
      </c>
      <c r="C20" s="3">
        <v>0</v>
      </c>
    </row>
    <row r="21" spans="1:3" x14ac:dyDescent="0.35">
      <c r="A21" s="2">
        <v>20</v>
      </c>
      <c r="B21" t="s">
        <v>22</v>
      </c>
      <c r="C21" s="3">
        <v>0</v>
      </c>
    </row>
    <row r="22" spans="1:3" x14ac:dyDescent="0.35">
      <c r="A22" s="2">
        <v>21</v>
      </c>
      <c r="B22" t="s">
        <v>23</v>
      </c>
      <c r="C22" s="3">
        <v>0.5</v>
      </c>
    </row>
    <row r="23" spans="1:3" x14ac:dyDescent="0.35">
      <c r="A23" s="2">
        <v>22</v>
      </c>
      <c r="B23" t="s">
        <v>24</v>
      </c>
      <c r="C23" s="3">
        <v>0</v>
      </c>
    </row>
    <row r="24" spans="1:3" x14ac:dyDescent="0.35">
      <c r="A24" s="2">
        <v>23</v>
      </c>
      <c r="B24" t="s">
        <v>25</v>
      </c>
      <c r="C24" s="3">
        <v>0</v>
      </c>
    </row>
    <row r="25" spans="1:3" x14ac:dyDescent="0.35">
      <c r="A25" s="2">
        <v>24</v>
      </c>
      <c r="B25" t="s">
        <v>26</v>
      </c>
      <c r="C25" s="3">
        <v>0</v>
      </c>
    </row>
    <row r="26" spans="1:3" x14ac:dyDescent="0.35">
      <c r="A26" s="2">
        <v>25</v>
      </c>
      <c r="B26" t="s">
        <v>27</v>
      </c>
      <c r="C26" s="3">
        <v>0.5</v>
      </c>
    </row>
    <row r="27" spans="1:3" x14ac:dyDescent="0.35">
      <c r="A27" s="2">
        <v>26</v>
      </c>
      <c r="B27" t="s">
        <v>28</v>
      </c>
      <c r="C27" s="3">
        <v>0</v>
      </c>
    </row>
    <row r="28" spans="1:3" x14ac:dyDescent="0.35">
      <c r="A28" s="2">
        <v>27</v>
      </c>
      <c r="B28" t="s">
        <v>29</v>
      </c>
      <c r="C28" s="3">
        <v>1</v>
      </c>
    </row>
    <row r="29" spans="1:3" x14ac:dyDescent="0.35">
      <c r="A29" s="2">
        <v>28</v>
      </c>
      <c r="B29" t="s">
        <v>30</v>
      </c>
      <c r="C29" s="3">
        <v>0.2</v>
      </c>
    </row>
    <row r="30" spans="1:3" x14ac:dyDescent="0.35">
      <c r="A30" s="2">
        <v>29</v>
      </c>
      <c r="B30" t="s">
        <v>31</v>
      </c>
      <c r="C30" s="3">
        <v>0</v>
      </c>
    </row>
    <row r="31" spans="1:3" x14ac:dyDescent="0.35">
      <c r="A31" s="2">
        <v>30</v>
      </c>
      <c r="B31" t="s">
        <v>32</v>
      </c>
      <c r="C31" s="3">
        <v>0.66700000000000004</v>
      </c>
    </row>
    <row r="32" spans="1:3" x14ac:dyDescent="0.35">
      <c r="A32" s="2">
        <v>31</v>
      </c>
      <c r="B32" t="s">
        <v>33</v>
      </c>
      <c r="C32" s="3">
        <v>0</v>
      </c>
    </row>
    <row r="33" spans="1:3" x14ac:dyDescent="0.35">
      <c r="A33" s="2">
        <v>32</v>
      </c>
      <c r="B33" t="s">
        <v>34</v>
      </c>
      <c r="C33" s="3">
        <v>0</v>
      </c>
    </row>
    <row r="34" spans="1:3" x14ac:dyDescent="0.35">
      <c r="A34" s="2">
        <v>33</v>
      </c>
      <c r="B34" t="s">
        <v>35</v>
      </c>
      <c r="C34" s="3">
        <v>0</v>
      </c>
    </row>
    <row r="35" spans="1:3" x14ac:dyDescent="0.35">
      <c r="A35" s="2">
        <v>34</v>
      </c>
      <c r="B35" t="s">
        <v>36</v>
      </c>
      <c r="C35" s="3">
        <v>0.5</v>
      </c>
    </row>
    <row r="36" spans="1:3" x14ac:dyDescent="0.35">
      <c r="A36" s="2">
        <v>35</v>
      </c>
      <c r="B36" t="s">
        <v>37</v>
      </c>
      <c r="C36" s="3">
        <v>0</v>
      </c>
    </row>
    <row r="37" spans="1:3" x14ac:dyDescent="0.35">
      <c r="A37" s="2">
        <v>36</v>
      </c>
      <c r="B37" t="s">
        <v>38</v>
      </c>
      <c r="C37" s="3">
        <v>0</v>
      </c>
    </row>
    <row r="38" spans="1:3" x14ac:dyDescent="0.35">
      <c r="A38" s="2">
        <v>37</v>
      </c>
      <c r="B38" t="s">
        <v>39</v>
      </c>
      <c r="C38" s="3">
        <v>0.25</v>
      </c>
    </row>
    <row r="39" spans="1:3" x14ac:dyDescent="0.35">
      <c r="A39" s="2">
        <v>38</v>
      </c>
      <c r="B39" t="s">
        <v>40</v>
      </c>
      <c r="C39" s="3">
        <v>0.25</v>
      </c>
    </row>
    <row r="40" spans="1:3" x14ac:dyDescent="0.35">
      <c r="A40" s="2">
        <v>39</v>
      </c>
      <c r="B40" t="s">
        <v>41</v>
      </c>
      <c r="C40" s="3">
        <v>0</v>
      </c>
    </row>
    <row r="41" spans="1:3" x14ac:dyDescent="0.35">
      <c r="A41" s="2">
        <v>40</v>
      </c>
      <c r="B41" t="s">
        <v>42</v>
      </c>
      <c r="C41" s="3">
        <v>0</v>
      </c>
    </row>
    <row r="42" spans="1:3" x14ac:dyDescent="0.35">
      <c r="A42" s="2">
        <v>41</v>
      </c>
      <c r="B42" t="s">
        <v>43</v>
      </c>
      <c r="C42" s="3">
        <v>0</v>
      </c>
    </row>
    <row r="43" spans="1:3" x14ac:dyDescent="0.35">
      <c r="A43" s="2">
        <v>42</v>
      </c>
      <c r="B43" t="s">
        <v>44</v>
      </c>
      <c r="C43" s="3">
        <v>0</v>
      </c>
    </row>
    <row r="44" spans="1:3" x14ac:dyDescent="0.35">
      <c r="A44" s="2">
        <v>43</v>
      </c>
      <c r="B44" t="s">
        <v>45</v>
      </c>
      <c r="C44" s="3">
        <v>0</v>
      </c>
    </row>
    <row r="45" spans="1:3" x14ac:dyDescent="0.35">
      <c r="A45" s="2">
        <v>44</v>
      </c>
      <c r="B45" t="s">
        <v>46</v>
      </c>
      <c r="C45" s="3">
        <v>0</v>
      </c>
    </row>
    <row r="46" spans="1:3" x14ac:dyDescent="0.35">
      <c r="A46" s="2">
        <v>45</v>
      </c>
      <c r="B46" t="s">
        <v>47</v>
      </c>
      <c r="C46" s="3">
        <v>0.5</v>
      </c>
    </row>
    <row r="47" spans="1:3" x14ac:dyDescent="0.35">
      <c r="A47" s="2">
        <v>46</v>
      </c>
      <c r="B47" t="s">
        <v>48</v>
      </c>
      <c r="C47" s="3">
        <v>0</v>
      </c>
    </row>
    <row r="48" spans="1:3" x14ac:dyDescent="0.35">
      <c r="A48" s="2">
        <v>47</v>
      </c>
      <c r="B48" t="s">
        <v>49</v>
      </c>
      <c r="C48" s="3">
        <v>0</v>
      </c>
    </row>
    <row r="49" spans="1:3" x14ac:dyDescent="0.35">
      <c r="A49" s="2">
        <v>48</v>
      </c>
      <c r="B49" t="s">
        <v>50</v>
      </c>
      <c r="C49" s="3">
        <v>0.25</v>
      </c>
    </row>
    <row r="50" spans="1:3" x14ac:dyDescent="0.35">
      <c r="A50" s="2">
        <v>49</v>
      </c>
      <c r="B50" t="s">
        <v>51</v>
      </c>
      <c r="C50" s="3">
        <v>0.33300000000000002</v>
      </c>
    </row>
    <row r="51" spans="1:3" x14ac:dyDescent="0.35">
      <c r="A51" s="2">
        <v>50</v>
      </c>
      <c r="B51" t="s">
        <v>52</v>
      </c>
      <c r="C51" s="3">
        <v>0</v>
      </c>
    </row>
    <row r="52" spans="1:3" x14ac:dyDescent="0.35">
      <c r="A52" s="2">
        <v>51</v>
      </c>
      <c r="B52" t="s">
        <v>53</v>
      </c>
      <c r="C52" s="3">
        <v>0</v>
      </c>
    </row>
    <row r="53" spans="1:3" x14ac:dyDescent="0.35">
      <c r="A53" s="2">
        <v>52</v>
      </c>
      <c r="B53" t="s">
        <v>54</v>
      </c>
      <c r="C53" s="3">
        <v>0</v>
      </c>
    </row>
    <row r="54" spans="1:3" x14ac:dyDescent="0.35">
      <c r="A54" s="2">
        <v>53</v>
      </c>
      <c r="B54" t="s">
        <v>55</v>
      </c>
      <c r="C54" s="3">
        <v>0</v>
      </c>
    </row>
    <row r="55" spans="1:3" x14ac:dyDescent="0.35">
      <c r="A55" s="2">
        <v>54</v>
      </c>
      <c r="B55" t="s">
        <v>56</v>
      </c>
      <c r="C55" s="3">
        <v>0</v>
      </c>
    </row>
    <row r="56" spans="1:3" x14ac:dyDescent="0.35">
      <c r="A56" s="2">
        <v>55</v>
      </c>
      <c r="B56" t="s">
        <v>57</v>
      </c>
      <c r="C56" s="3">
        <v>0</v>
      </c>
    </row>
    <row r="57" spans="1:3" x14ac:dyDescent="0.35">
      <c r="A57" s="2">
        <v>56</v>
      </c>
      <c r="B57" t="s">
        <v>58</v>
      </c>
      <c r="C57" s="3">
        <v>0</v>
      </c>
    </row>
    <row r="58" spans="1:3" x14ac:dyDescent="0.35">
      <c r="A58" s="2">
        <v>57</v>
      </c>
      <c r="B58" t="s">
        <v>59</v>
      </c>
      <c r="C58" s="3">
        <v>0</v>
      </c>
    </row>
    <row r="59" spans="1:3" x14ac:dyDescent="0.35">
      <c r="A59" s="2">
        <v>58</v>
      </c>
      <c r="B59" t="s">
        <v>60</v>
      </c>
      <c r="C59" s="3">
        <v>0</v>
      </c>
    </row>
    <row r="60" spans="1:3" x14ac:dyDescent="0.35">
      <c r="A60" s="2">
        <v>59</v>
      </c>
      <c r="B60" t="s">
        <v>61</v>
      </c>
      <c r="C60" s="3">
        <v>0</v>
      </c>
    </row>
    <row r="61" spans="1:3" x14ac:dyDescent="0.35">
      <c r="A61" s="2">
        <v>60</v>
      </c>
      <c r="B61" t="s">
        <v>62</v>
      </c>
      <c r="C61" s="3">
        <v>0</v>
      </c>
    </row>
    <row r="62" spans="1:3" x14ac:dyDescent="0.35">
      <c r="A62" s="2">
        <v>61</v>
      </c>
      <c r="B62" t="s">
        <v>63</v>
      </c>
      <c r="C62" s="3">
        <v>0</v>
      </c>
    </row>
    <row r="63" spans="1:3" x14ac:dyDescent="0.35">
      <c r="A63" s="2">
        <v>62</v>
      </c>
      <c r="B63" t="s">
        <v>64</v>
      </c>
      <c r="C63" s="3">
        <v>0</v>
      </c>
    </row>
    <row r="64" spans="1:3" x14ac:dyDescent="0.35">
      <c r="A64" s="2">
        <v>63</v>
      </c>
      <c r="B64" t="s">
        <v>65</v>
      </c>
      <c r="C64" s="3">
        <v>1</v>
      </c>
    </row>
    <row r="65" spans="1:3" x14ac:dyDescent="0.35">
      <c r="A65" s="2">
        <v>64</v>
      </c>
      <c r="B65" t="s">
        <v>66</v>
      </c>
      <c r="C65" s="3">
        <v>0</v>
      </c>
    </row>
    <row r="66" spans="1:3" x14ac:dyDescent="0.35">
      <c r="A66" s="2">
        <v>65</v>
      </c>
      <c r="B66" t="s">
        <v>67</v>
      </c>
      <c r="C66" s="3">
        <v>0</v>
      </c>
    </row>
    <row r="67" spans="1:3" x14ac:dyDescent="0.35">
      <c r="A67" s="2">
        <v>66</v>
      </c>
      <c r="B67" t="s">
        <v>68</v>
      </c>
      <c r="C67" s="3">
        <v>0</v>
      </c>
    </row>
    <row r="68" spans="1:3" x14ac:dyDescent="0.35">
      <c r="A68" s="2">
        <v>67</v>
      </c>
      <c r="B68" t="s">
        <v>69</v>
      </c>
      <c r="C68" s="3">
        <v>0.4</v>
      </c>
    </row>
    <row r="69" spans="1:3" x14ac:dyDescent="0.35">
      <c r="A69" s="2">
        <v>68</v>
      </c>
      <c r="B69" t="s">
        <v>70</v>
      </c>
      <c r="C69" s="3">
        <v>0.33300000000000002</v>
      </c>
    </row>
    <row r="70" spans="1:3" x14ac:dyDescent="0.35">
      <c r="A70" s="2">
        <v>69</v>
      </c>
      <c r="B70" t="s">
        <v>71</v>
      </c>
      <c r="C70" s="3">
        <v>0</v>
      </c>
    </row>
    <row r="71" spans="1:3" x14ac:dyDescent="0.35">
      <c r="A71" s="2">
        <v>70</v>
      </c>
      <c r="B71" t="s">
        <v>72</v>
      </c>
      <c r="C71" s="3">
        <v>0.2</v>
      </c>
    </row>
    <row r="72" spans="1:3" x14ac:dyDescent="0.35">
      <c r="A72" s="2">
        <v>71</v>
      </c>
      <c r="B72" t="s">
        <v>73</v>
      </c>
      <c r="C72" s="3">
        <v>0.33300000000000002</v>
      </c>
    </row>
    <row r="73" spans="1:3" x14ac:dyDescent="0.35">
      <c r="A73" s="2">
        <v>72</v>
      </c>
      <c r="B73" t="s">
        <v>74</v>
      </c>
      <c r="C73" s="3">
        <v>0</v>
      </c>
    </row>
    <row r="74" spans="1:3" x14ac:dyDescent="0.35">
      <c r="A74" s="2">
        <v>73</v>
      </c>
      <c r="B74" t="s">
        <v>75</v>
      </c>
      <c r="C74" s="3">
        <v>0</v>
      </c>
    </row>
    <row r="75" spans="1:3" x14ac:dyDescent="0.35">
      <c r="A75" s="2">
        <v>74</v>
      </c>
      <c r="B75" t="s">
        <v>76</v>
      </c>
      <c r="C75" s="3">
        <v>0</v>
      </c>
    </row>
    <row r="76" spans="1:3" x14ac:dyDescent="0.35">
      <c r="A76" s="2">
        <v>75</v>
      </c>
      <c r="B76" t="s">
        <v>77</v>
      </c>
      <c r="C76" s="3">
        <v>0</v>
      </c>
    </row>
    <row r="77" spans="1:3" x14ac:dyDescent="0.35">
      <c r="A77" s="2">
        <v>76</v>
      </c>
      <c r="B77" t="s">
        <v>78</v>
      </c>
      <c r="C77" s="3">
        <v>0</v>
      </c>
    </row>
    <row r="78" spans="1:3" x14ac:dyDescent="0.35">
      <c r="A78" s="2">
        <v>77</v>
      </c>
      <c r="B78" t="s">
        <v>79</v>
      </c>
      <c r="C78" s="3">
        <v>0</v>
      </c>
    </row>
    <row r="79" spans="1:3" x14ac:dyDescent="0.35">
      <c r="A79" s="2">
        <v>78</v>
      </c>
      <c r="B79" t="s">
        <v>80</v>
      </c>
      <c r="C79" s="3">
        <v>1</v>
      </c>
    </row>
    <row r="80" spans="1:3" x14ac:dyDescent="0.35">
      <c r="A80" s="2">
        <v>79</v>
      </c>
      <c r="B80" t="s">
        <v>81</v>
      </c>
      <c r="C80" s="3">
        <v>0</v>
      </c>
    </row>
    <row r="81" spans="1:3" x14ac:dyDescent="0.35">
      <c r="A81" s="2">
        <v>80</v>
      </c>
      <c r="B81" t="s">
        <v>82</v>
      </c>
      <c r="C81" s="3">
        <v>1</v>
      </c>
    </row>
    <row r="82" spans="1:3" x14ac:dyDescent="0.35">
      <c r="A82" s="2">
        <v>81</v>
      </c>
      <c r="B82" t="s">
        <v>83</v>
      </c>
      <c r="C82" s="3">
        <v>0</v>
      </c>
    </row>
    <row r="83" spans="1:3" x14ac:dyDescent="0.35">
      <c r="A83" s="2">
        <v>82</v>
      </c>
      <c r="B83" t="s">
        <v>84</v>
      </c>
      <c r="C83" s="3">
        <v>0.2</v>
      </c>
    </row>
    <row r="84" spans="1:3" x14ac:dyDescent="0.35">
      <c r="A84" s="2">
        <v>83</v>
      </c>
      <c r="B84" t="s">
        <v>85</v>
      </c>
      <c r="C84" s="3">
        <v>0</v>
      </c>
    </row>
    <row r="85" spans="1:3" x14ac:dyDescent="0.35">
      <c r="A85" s="2">
        <v>84</v>
      </c>
      <c r="B85" t="s">
        <v>86</v>
      </c>
      <c r="C85" s="3">
        <v>0</v>
      </c>
    </row>
    <row r="86" spans="1:3" x14ac:dyDescent="0.35">
      <c r="A86" s="2">
        <v>85</v>
      </c>
      <c r="B86" t="s">
        <v>87</v>
      </c>
      <c r="C86" s="3">
        <v>0</v>
      </c>
    </row>
    <row r="87" spans="1:3" x14ac:dyDescent="0.35">
      <c r="A87" s="2">
        <v>86</v>
      </c>
      <c r="B87" t="s">
        <v>88</v>
      </c>
      <c r="C87" s="3">
        <v>0</v>
      </c>
    </row>
    <row r="88" spans="1:3" x14ac:dyDescent="0.35">
      <c r="A88" s="2">
        <v>87</v>
      </c>
      <c r="B88" t="s">
        <v>89</v>
      </c>
      <c r="C88" s="3">
        <v>0.14299999999999999</v>
      </c>
    </row>
    <row r="89" spans="1:3" x14ac:dyDescent="0.35">
      <c r="A89" s="2">
        <v>88</v>
      </c>
      <c r="B89" t="s">
        <v>90</v>
      </c>
      <c r="C89" s="3">
        <v>0</v>
      </c>
    </row>
    <row r="90" spans="1:3" x14ac:dyDescent="0.35">
      <c r="A90" s="2">
        <v>89</v>
      </c>
      <c r="B90" t="s">
        <v>91</v>
      </c>
      <c r="C90" s="3">
        <v>0.33300000000000002</v>
      </c>
    </row>
    <row r="91" spans="1:3" x14ac:dyDescent="0.35">
      <c r="A91" s="2">
        <v>90</v>
      </c>
      <c r="B91" t="s">
        <v>92</v>
      </c>
      <c r="C91" s="3">
        <v>0</v>
      </c>
    </row>
    <row r="92" spans="1:3" x14ac:dyDescent="0.35">
      <c r="A92" s="2">
        <v>91</v>
      </c>
      <c r="B92" t="s">
        <v>93</v>
      </c>
      <c r="C92" s="3">
        <v>0</v>
      </c>
    </row>
    <row r="93" spans="1:3" x14ac:dyDescent="0.35">
      <c r="A93" s="2">
        <v>92</v>
      </c>
      <c r="B93" t="s">
        <v>94</v>
      </c>
      <c r="C93" s="3">
        <v>0</v>
      </c>
    </row>
    <row r="94" spans="1:3" x14ac:dyDescent="0.35">
      <c r="A94" s="2">
        <v>93</v>
      </c>
      <c r="B94" t="s">
        <v>95</v>
      </c>
      <c r="C94" s="3">
        <v>0</v>
      </c>
    </row>
    <row r="95" spans="1:3" x14ac:dyDescent="0.35">
      <c r="A95" s="2">
        <v>94</v>
      </c>
      <c r="B95" t="s">
        <v>96</v>
      </c>
      <c r="C95" s="3">
        <v>0</v>
      </c>
    </row>
    <row r="96" spans="1:3" x14ac:dyDescent="0.35">
      <c r="A96" s="2">
        <v>95</v>
      </c>
      <c r="B96" t="s">
        <v>97</v>
      </c>
      <c r="C96" s="3">
        <v>0</v>
      </c>
    </row>
    <row r="97" spans="1:3" x14ac:dyDescent="0.35">
      <c r="A97" s="2">
        <v>96</v>
      </c>
      <c r="B97" t="s">
        <v>98</v>
      </c>
      <c r="C97" s="3">
        <v>0</v>
      </c>
    </row>
    <row r="98" spans="1:3" x14ac:dyDescent="0.35">
      <c r="A98" s="2">
        <v>97</v>
      </c>
      <c r="B98" t="s">
        <v>99</v>
      </c>
      <c r="C98" s="3">
        <v>0.5</v>
      </c>
    </row>
    <row r="99" spans="1:3" x14ac:dyDescent="0.35">
      <c r="A99" s="2">
        <v>98</v>
      </c>
      <c r="B99" t="s">
        <v>100</v>
      </c>
      <c r="C99" s="3">
        <v>0</v>
      </c>
    </row>
    <row r="100" spans="1:3" x14ac:dyDescent="0.35">
      <c r="A100" s="2">
        <v>99</v>
      </c>
      <c r="B100" t="s">
        <v>101</v>
      </c>
      <c r="C100" s="3">
        <v>0.33300000000000002</v>
      </c>
    </row>
    <row r="101" spans="1:3" x14ac:dyDescent="0.35">
      <c r="A101" s="2">
        <v>100</v>
      </c>
      <c r="B101" t="s">
        <v>102</v>
      </c>
      <c r="C101" s="3">
        <v>0</v>
      </c>
    </row>
    <row r="102" spans="1:3" x14ac:dyDescent="0.35">
      <c r="A102" s="2">
        <v>101</v>
      </c>
      <c r="B102" t="s">
        <v>103</v>
      </c>
      <c r="C102" s="3">
        <v>0</v>
      </c>
    </row>
    <row r="103" spans="1:3" x14ac:dyDescent="0.35">
      <c r="A103" s="2">
        <v>102</v>
      </c>
      <c r="B103" t="s">
        <v>104</v>
      </c>
      <c r="C103" s="3">
        <v>0</v>
      </c>
    </row>
    <row r="104" spans="1:3" x14ac:dyDescent="0.35">
      <c r="A104" s="2">
        <v>103</v>
      </c>
      <c r="B104" t="s">
        <v>105</v>
      </c>
      <c r="C104" s="3">
        <v>0</v>
      </c>
    </row>
    <row r="105" spans="1:3" x14ac:dyDescent="0.35">
      <c r="A105" s="2">
        <v>104</v>
      </c>
      <c r="B105" t="s">
        <v>106</v>
      </c>
      <c r="C105" s="3">
        <v>0</v>
      </c>
    </row>
    <row r="106" spans="1:3" x14ac:dyDescent="0.35">
      <c r="A106" s="2">
        <v>105</v>
      </c>
      <c r="B106" t="s">
        <v>107</v>
      </c>
      <c r="C106" s="3">
        <v>0</v>
      </c>
    </row>
    <row r="107" spans="1:3" x14ac:dyDescent="0.35">
      <c r="A107" s="2">
        <v>106</v>
      </c>
      <c r="B107" t="s">
        <v>108</v>
      </c>
      <c r="C107" s="3">
        <v>0</v>
      </c>
    </row>
    <row r="108" spans="1:3" x14ac:dyDescent="0.35">
      <c r="A108" s="2">
        <v>107</v>
      </c>
      <c r="B108" t="s">
        <v>109</v>
      </c>
      <c r="C108" s="3">
        <v>0</v>
      </c>
    </row>
    <row r="109" spans="1:3" x14ac:dyDescent="0.35">
      <c r="A109" s="2">
        <v>108</v>
      </c>
      <c r="B109" t="s">
        <v>110</v>
      </c>
      <c r="C109" s="3">
        <v>0</v>
      </c>
    </row>
    <row r="110" spans="1:3" x14ac:dyDescent="0.35">
      <c r="A110" s="2">
        <v>109</v>
      </c>
      <c r="B110" t="s">
        <v>111</v>
      </c>
      <c r="C110" s="3">
        <v>0</v>
      </c>
    </row>
    <row r="111" spans="1:3" x14ac:dyDescent="0.35">
      <c r="A111" s="2">
        <v>110</v>
      </c>
      <c r="B111" t="s">
        <v>112</v>
      </c>
      <c r="C111" s="3">
        <v>0</v>
      </c>
    </row>
    <row r="112" spans="1:3" x14ac:dyDescent="0.35">
      <c r="A112" s="2">
        <v>111</v>
      </c>
      <c r="B112" t="s">
        <v>113</v>
      </c>
      <c r="C112" s="3">
        <v>0</v>
      </c>
    </row>
    <row r="113" spans="1:3" x14ac:dyDescent="0.35">
      <c r="A113" s="2">
        <v>112</v>
      </c>
      <c r="B113" t="s">
        <v>114</v>
      </c>
      <c r="C113" s="3">
        <v>0</v>
      </c>
    </row>
    <row r="114" spans="1:3" x14ac:dyDescent="0.35">
      <c r="A114" s="2">
        <v>113</v>
      </c>
      <c r="B114" t="s">
        <v>115</v>
      </c>
      <c r="C114" s="3">
        <v>0</v>
      </c>
    </row>
    <row r="115" spans="1:3" x14ac:dyDescent="0.35">
      <c r="A115" s="2">
        <v>114</v>
      </c>
      <c r="B115" t="s">
        <v>116</v>
      </c>
      <c r="C115" s="3">
        <v>1</v>
      </c>
    </row>
    <row r="116" spans="1:3" x14ac:dyDescent="0.35">
      <c r="A116" s="2">
        <v>115</v>
      </c>
      <c r="B116" t="s">
        <v>117</v>
      </c>
      <c r="C116" s="3">
        <v>0</v>
      </c>
    </row>
    <row r="117" spans="1:3" x14ac:dyDescent="0.35">
      <c r="A117" s="2">
        <v>116</v>
      </c>
      <c r="B117" t="s">
        <v>118</v>
      </c>
      <c r="C117" s="3">
        <v>0</v>
      </c>
    </row>
    <row r="118" spans="1:3" x14ac:dyDescent="0.35">
      <c r="A118" s="2">
        <v>117</v>
      </c>
      <c r="B118" t="s">
        <v>119</v>
      </c>
      <c r="C118" s="3">
        <v>0</v>
      </c>
    </row>
    <row r="119" spans="1:3" x14ac:dyDescent="0.35">
      <c r="A119" s="2">
        <v>118</v>
      </c>
      <c r="B119" t="s">
        <v>120</v>
      </c>
      <c r="C119" s="3">
        <v>0</v>
      </c>
    </row>
    <row r="120" spans="1:3" x14ac:dyDescent="0.35">
      <c r="A120" s="2">
        <v>119</v>
      </c>
      <c r="B120" t="s">
        <v>121</v>
      </c>
      <c r="C120" s="3">
        <v>0.25</v>
      </c>
    </row>
    <row r="121" spans="1:3" x14ac:dyDescent="0.35">
      <c r="A121" s="2">
        <v>120</v>
      </c>
      <c r="B121" t="s">
        <v>122</v>
      </c>
      <c r="C121" s="3">
        <v>0</v>
      </c>
    </row>
    <row r="122" spans="1:3" x14ac:dyDescent="0.35">
      <c r="A122" s="2">
        <v>121</v>
      </c>
      <c r="B122" t="s">
        <v>123</v>
      </c>
      <c r="C122" s="3">
        <v>0</v>
      </c>
    </row>
    <row r="123" spans="1:3" x14ac:dyDescent="0.35">
      <c r="A123" s="2">
        <v>122</v>
      </c>
      <c r="B123" t="s">
        <v>124</v>
      </c>
      <c r="C123" s="3">
        <v>0</v>
      </c>
    </row>
    <row r="124" spans="1:3" x14ac:dyDescent="0.35">
      <c r="A124" s="2">
        <v>123</v>
      </c>
      <c r="B124" t="s">
        <v>125</v>
      </c>
      <c r="C124" s="3">
        <v>0</v>
      </c>
    </row>
    <row r="125" spans="1:3" x14ac:dyDescent="0.35">
      <c r="A125" s="2">
        <v>124</v>
      </c>
      <c r="B125" t="s">
        <v>126</v>
      </c>
      <c r="C125" s="3">
        <v>0</v>
      </c>
    </row>
    <row r="126" spans="1:3" x14ac:dyDescent="0.35">
      <c r="A126" s="2">
        <v>125</v>
      </c>
      <c r="B126" t="s">
        <v>127</v>
      </c>
      <c r="C126" s="3">
        <v>0</v>
      </c>
    </row>
    <row r="127" spans="1:3" x14ac:dyDescent="0.35">
      <c r="A127" s="2">
        <v>126</v>
      </c>
      <c r="B127" t="s">
        <v>128</v>
      </c>
      <c r="C127" s="3">
        <v>0</v>
      </c>
    </row>
    <row r="128" spans="1:3" x14ac:dyDescent="0.35">
      <c r="A128" s="2">
        <v>127</v>
      </c>
      <c r="B128" t="s">
        <v>129</v>
      </c>
      <c r="C128" s="3">
        <v>0</v>
      </c>
    </row>
    <row r="129" spans="1:3" x14ac:dyDescent="0.35">
      <c r="A129" s="2">
        <v>128</v>
      </c>
      <c r="B129" t="s">
        <v>130</v>
      </c>
      <c r="C129" s="3">
        <v>0</v>
      </c>
    </row>
    <row r="130" spans="1:3" x14ac:dyDescent="0.35">
      <c r="A130" s="2">
        <v>129</v>
      </c>
      <c r="B130" t="s">
        <v>131</v>
      </c>
      <c r="C130" s="3">
        <v>0</v>
      </c>
    </row>
    <row r="131" spans="1:3" x14ac:dyDescent="0.35">
      <c r="A131" s="2">
        <v>130</v>
      </c>
      <c r="B131" t="s">
        <v>132</v>
      </c>
      <c r="C131" s="3">
        <v>1</v>
      </c>
    </row>
    <row r="132" spans="1:3" x14ac:dyDescent="0.35">
      <c r="A132" s="2">
        <v>131</v>
      </c>
      <c r="B132" t="s">
        <v>133</v>
      </c>
      <c r="C132" s="3">
        <v>0</v>
      </c>
    </row>
    <row r="133" spans="1:3" x14ac:dyDescent="0.35">
      <c r="A133" s="2">
        <v>132</v>
      </c>
      <c r="B133" t="s">
        <v>134</v>
      </c>
      <c r="C133" s="3">
        <v>0</v>
      </c>
    </row>
    <row r="134" spans="1:3" x14ac:dyDescent="0.35">
      <c r="A134" s="2">
        <v>133</v>
      </c>
      <c r="B134" t="s">
        <v>135</v>
      </c>
      <c r="C134" s="3">
        <v>0</v>
      </c>
    </row>
    <row r="135" spans="1:3" x14ac:dyDescent="0.35">
      <c r="A135" s="2">
        <v>134</v>
      </c>
      <c r="B135" t="s">
        <v>136</v>
      </c>
      <c r="C135" s="3">
        <v>0.5</v>
      </c>
    </row>
    <row r="136" spans="1:3" x14ac:dyDescent="0.35">
      <c r="A136" s="2">
        <v>135</v>
      </c>
      <c r="B136" t="s">
        <v>137</v>
      </c>
      <c r="C136" s="3">
        <v>0</v>
      </c>
    </row>
    <row r="137" spans="1:3" x14ac:dyDescent="0.35">
      <c r="A137" s="2">
        <v>136</v>
      </c>
      <c r="B137" t="s">
        <v>138</v>
      </c>
      <c r="C137" s="3">
        <v>0.25</v>
      </c>
    </row>
    <row r="138" spans="1:3" x14ac:dyDescent="0.35">
      <c r="A138" s="2">
        <v>137</v>
      </c>
      <c r="B138" t="s">
        <v>139</v>
      </c>
      <c r="C138" s="3">
        <v>0.2</v>
      </c>
    </row>
    <row r="139" spans="1:3" x14ac:dyDescent="0.35">
      <c r="A139" s="2">
        <v>138</v>
      </c>
      <c r="B139" t="s">
        <v>140</v>
      </c>
      <c r="C139" s="3">
        <v>0</v>
      </c>
    </row>
    <row r="140" spans="1:3" x14ac:dyDescent="0.35">
      <c r="A140" s="2">
        <v>139</v>
      </c>
      <c r="B140" t="s">
        <v>141</v>
      </c>
      <c r="C140" s="3">
        <v>0</v>
      </c>
    </row>
    <row r="141" spans="1:3" x14ac:dyDescent="0.35">
      <c r="A141" s="2">
        <v>140</v>
      </c>
      <c r="B141" t="s">
        <v>142</v>
      </c>
      <c r="C141" s="3">
        <v>0</v>
      </c>
    </row>
    <row r="142" spans="1:3" x14ac:dyDescent="0.35">
      <c r="A142" s="2">
        <v>141</v>
      </c>
      <c r="B142" t="s">
        <v>143</v>
      </c>
      <c r="C142" s="3">
        <v>0</v>
      </c>
    </row>
    <row r="143" spans="1:3" x14ac:dyDescent="0.35">
      <c r="A143" s="2">
        <v>142</v>
      </c>
      <c r="B143" t="s">
        <v>144</v>
      </c>
      <c r="C143" s="3">
        <v>0</v>
      </c>
    </row>
    <row r="144" spans="1:3" x14ac:dyDescent="0.35">
      <c r="A144" s="2">
        <v>143</v>
      </c>
      <c r="B144" t="s">
        <v>145</v>
      </c>
      <c r="C144" s="3">
        <v>0</v>
      </c>
    </row>
    <row r="145" spans="1:4" x14ac:dyDescent="0.35">
      <c r="A145" s="2">
        <v>144</v>
      </c>
      <c r="B145" t="s">
        <v>146</v>
      </c>
      <c r="C145" s="3">
        <v>0</v>
      </c>
    </row>
    <row r="146" spans="1:4" x14ac:dyDescent="0.35">
      <c r="A146" s="2">
        <v>145</v>
      </c>
      <c r="B146" t="s">
        <v>147</v>
      </c>
      <c r="C146" s="3">
        <v>0.14000000000000001</v>
      </c>
    </row>
    <row r="147" spans="1:4" x14ac:dyDescent="0.35">
      <c r="A147" s="2">
        <v>146</v>
      </c>
      <c r="B147" s="5" t="s">
        <v>300</v>
      </c>
      <c r="C147" s="4">
        <v>0.5258235294117648</v>
      </c>
      <c r="D147" s="3"/>
    </row>
    <row r="148" spans="1:4" x14ac:dyDescent="0.35">
      <c r="A148" s="2">
        <v>147</v>
      </c>
      <c r="B148" t="s">
        <v>149</v>
      </c>
      <c r="C148" s="3">
        <v>0</v>
      </c>
    </row>
    <row r="149" spans="1:4" x14ac:dyDescent="0.35">
      <c r="A149" s="2">
        <v>148</v>
      </c>
      <c r="B149" t="s">
        <v>150</v>
      </c>
      <c r="C149" s="3">
        <v>0.57099999999999995</v>
      </c>
    </row>
    <row r="150" spans="1:4" x14ac:dyDescent="0.35">
      <c r="A150" s="2">
        <v>149</v>
      </c>
      <c r="B150" t="s">
        <v>151</v>
      </c>
      <c r="C150" s="3">
        <v>0.14299999999999999</v>
      </c>
    </row>
    <row r="151" spans="1:4" x14ac:dyDescent="0.35">
      <c r="A151" s="2">
        <v>150</v>
      </c>
      <c r="B151" t="s">
        <v>152</v>
      </c>
      <c r="C151" s="3">
        <v>0</v>
      </c>
    </row>
    <row r="152" spans="1:4" x14ac:dyDescent="0.35">
      <c r="A152" s="2">
        <v>151</v>
      </c>
      <c r="B152" t="s">
        <v>153</v>
      </c>
      <c r="C152" s="3">
        <v>0.14299999999999999</v>
      </c>
    </row>
    <row r="153" spans="1:4" x14ac:dyDescent="0.35">
      <c r="A153" s="2">
        <v>152</v>
      </c>
      <c r="B153" t="s">
        <v>154</v>
      </c>
      <c r="C153" s="3">
        <v>0.27</v>
      </c>
    </row>
    <row r="154" spans="1:4" x14ac:dyDescent="0.35">
      <c r="A154" s="2">
        <v>153</v>
      </c>
      <c r="B154" t="s">
        <v>155</v>
      </c>
      <c r="C154" s="3">
        <v>0.4</v>
      </c>
    </row>
    <row r="155" spans="1:4" x14ac:dyDescent="0.35">
      <c r="A155" s="2">
        <v>154</v>
      </c>
      <c r="B155" t="s">
        <v>156</v>
      </c>
      <c r="C155" s="3">
        <v>1</v>
      </c>
    </row>
    <row r="156" spans="1:4" x14ac:dyDescent="0.35">
      <c r="A156" s="2">
        <v>155</v>
      </c>
      <c r="B156" t="s">
        <v>157</v>
      </c>
      <c r="C156" s="3">
        <v>0.111</v>
      </c>
    </row>
    <row r="157" spans="1:4" x14ac:dyDescent="0.35">
      <c r="A157" s="2">
        <v>156</v>
      </c>
      <c r="B157" t="s">
        <v>158</v>
      </c>
      <c r="C157" s="3">
        <v>6.7000000000000004E-2</v>
      </c>
    </row>
    <row r="158" spans="1:4" x14ac:dyDescent="0.35">
      <c r="A158" s="2">
        <v>157</v>
      </c>
      <c r="B158" t="s">
        <v>159</v>
      </c>
      <c r="C158" s="3">
        <v>0.16700000000000001</v>
      </c>
    </row>
    <row r="159" spans="1:4" x14ac:dyDescent="0.35">
      <c r="A159" s="2">
        <v>158</v>
      </c>
      <c r="B159" t="s">
        <v>160</v>
      </c>
      <c r="C159" s="3">
        <v>5.8999999999999997E-2</v>
      </c>
    </row>
    <row r="160" spans="1:4" x14ac:dyDescent="0.35">
      <c r="A160" s="2">
        <v>159</v>
      </c>
      <c r="B160" t="s">
        <v>161</v>
      </c>
      <c r="C160" s="3">
        <v>0.25</v>
      </c>
    </row>
    <row r="161" spans="1:4" x14ac:dyDescent="0.35">
      <c r="A161" s="2">
        <v>160</v>
      </c>
      <c r="B161" t="s">
        <v>162</v>
      </c>
      <c r="C161" s="3">
        <v>0.14299999999999999</v>
      </c>
    </row>
    <row r="162" spans="1:4" x14ac:dyDescent="0.35">
      <c r="A162" s="2">
        <v>161</v>
      </c>
      <c r="B162" t="s">
        <v>163</v>
      </c>
      <c r="C162" s="3">
        <v>0</v>
      </c>
    </row>
    <row r="163" spans="1:4" x14ac:dyDescent="0.35">
      <c r="A163" s="2">
        <v>162</v>
      </c>
      <c r="B163" t="s">
        <v>164</v>
      </c>
      <c r="C163" s="3">
        <v>0.5</v>
      </c>
    </row>
    <row r="164" spans="1:4" x14ac:dyDescent="0.35">
      <c r="A164" s="2">
        <v>163</v>
      </c>
      <c r="B164" t="s">
        <v>165</v>
      </c>
      <c r="C164" s="3">
        <v>0.04</v>
      </c>
    </row>
    <row r="165" spans="1:4" x14ac:dyDescent="0.35">
      <c r="A165" s="2">
        <v>164</v>
      </c>
      <c r="B165" t="s">
        <v>166</v>
      </c>
      <c r="C165" s="3">
        <v>0.44400000000000001</v>
      </c>
    </row>
    <row r="166" spans="1:4" x14ac:dyDescent="0.35">
      <c r="A166" s="2">
        <v>165</v>
      </c>
      <c r="B166" t="s">
        <v>167</v>
      </c>
      <c r="C166" s="3">
        <v>0</v>
      </c>
    </row>
    <row r="167" spans="1:4" x14ac:dyDescent="0.35">
      <c r="A167" s="2">
        <v>166</v>
      </c>
      <c r="B167" t="s">
        <v>168</v>
      </c>
      <c r="C167" s="3">
        <v>0</v>
      </c>
    </row>
    <row r="168" spans="1:4" x14ac:dyDescent="0.35">
      <c r="A168" s="2">
        <v>167</v>
      </c>
      <c r="B168" s="5" t="s">
        <v>299</v>
      </c>
      <c r="C168" s="4">
        <v>0.37443181818181814</v>
      </c>
      <c r="D168" s="3"/>
    </row>
    <row r="169" spans="1:4" x14ac:dyDescent="0.35">
      <c r="A169" s="2">
        <v>168</v>
      </c>
      <c r="B169" t="s">
        <v>170</v>
      </c>
      <c r="C169" s="3">
        <v>0.28599999999999998</v>
      </c>
    </row>
    <row r="170" spans="1:4" x14ac:dyDescent="0.35">
      <c r="A170" s="2">
        <v>169</v>
      </c>
      <c r="B170" t="s">
        <v>171</v>
      </c>
      <c r="C170" s="3">
        <v>0.55600000000000005</v>
      </c>
    </row>
    <row r="171" spans="1:4" x14ac:dyDescent="0.35">
      <c r="A171" s="2">
        <v>170</v>
      </c>
      <c r="B171" t="s">
        <v>172</v>
      </c>
      <c r="C171" s="3">
        <v>0.66700000000000004</v>
      </c>
    </row>
    <row r="172" spans="1:4" x14ac:dyDescent="0.35">
      <c r="A172" s="2">
        <v>171</v>
      </c>
      <c r="B172" t="s">
        <v>173</v>
      </c>
      <c r="C172" s="3">
        <v>0</v>
      </c>
    </row>
    <row r="173" spans="1:4" x14ac:dyDescent="0.35">
      <c r="A173" s="2">
        <v>172</v>
      </c>
      <c r="B173" t="s">
        <v>174</v>
      </c>
      <c r="C173" s="3">
        <v>0</v>
      </c>
    </row>
    <row r="174" spans="1:4" x14ac:dyDescent="0.35">
      <c r="A174" s="2">
        <v>173</v>
      </c>
      <c r="B174" t="s">
        <v>175</v>
      </c>
      <c r="C174" s="3">
        <v>1</v>
      </c>
    </row>
    <row r="175" spans="1:4" x14ac:dyDescent="0.35">
      <c r="A175" s="2">
        <v>174</v>
      </c>
      <c r="B175" t="s">
        <v>176</v>
      </c>
      <c r="C175" s="3">
        <v>0.5</v>
      </c>
    </row>
    <row r="176" spans="1:4" x14ac:dyDescent="0.35">
      <c r="A176" s="2">
        <v>175</v>
      </c>
      <c r="B176" t="s">
        <v>177</v>
      </c>
      <c r="C176" s="3">
        <v>0.2</v>
      </c>
    </row>
    <row r="177" spans="1:3" x14ac:dyDescent="0.35">
      <c r="A177" s="2">
        <v>176</v>
      </c>
      <c r="B177" t="s">
        <v>178</v>
      </c>
      <c r="C177" s="3">
        <v>0</v>
      </c>
    </row>
    <row r="178" spans="1:3" x14ac:dyDescent="0.35">
      <c r="A178" s="2">
        <v>177</v>
      </c>
      <c r="B178" t="s">
        <v>179</v>
      </c>
      <c r="C178" s="3">
        <v>0</v>
      </c>
    </row>
    <row r="179" spans="1:3" x14ac:dyDescent="0.35">
      <c r="A179" s="2">
        <v>178</v>
      </c>
      <c r="B179" t="s">
        <v>180</v>
      </c>
      <c r="C179" s="3">
        <v>0</v>
      </c>
    </row>
    <row r="180" spans="1:3" x14ac:dyDescent="0.35">
      <c r="A180" s="2">
        <v>179</v>
      </c>
      <c r="B180" t="s">
        <v>181</v>
      </c>
      <c r="C180" s="3">
        <v>0.2</v>
      </c>
    </row>
    <row r="181" spans="1:3" x14ac:dyDescent="0.35">
      <c r="A181" s="2">
        <v>180</v>
      </c>
      <c r="B181" t="s">
        <v>182</v>
      </c>
      <c r="C181" s="3">
        <v>0</v>
      </c>
    </row>
    <row r="182" spans="1:3" x14ac:dyDescent="0.35">
      <c r="A182" s="2">
        <v>181</v>
      </c>
      <c r="B182" t="s">
        <v>183</v>
      </c>
      <c r="C182" s="3">
        <v>1</v>
      </c>
    </row>
    <row r="183" spans="1:3" x14ac:dyDescent="0.35">
      <c r="A183" s="2">
        <v>182</v>
      </c>
      <c r="B183" t="s">
        <v>184</v>
      </c>
      <c r="C183" s="3">
        <v>0</v>
      </c>
    </row>
    <row r="184" spans="1:3" x14ac:dyDescent="0.35">
      <c r="A184" s="2">
        <v>183</v>
      </c>
      <c r="B184" t="s">
        <v>185</v>
      </c>
      <c r="C184" s="3">
        <v>0.25</v>
      </c>
    </row>
    <row r="185" spans="1:3" x14ac:dyDescent="0.35">
      <c r="A185" s="2">
        <v>184</v>
      </c>
      <c r="B185" t="s">
        <v>186</v>
      </c>
      <c r="C185" s="3">
        <v>0.25</v>
      </c>
    </row>
    <row r="186" spans="1:3" x14ac:dyDescent="0.35">
      <c r="A186" s="2">
        <v>185</v>
      </c>
      <c r="B186" t="s">
        <v>187</v>
      </c>
      <c r="C186" s="3">
        <v>0.5</v>
      </c>
    </row>
    <row r="187" spans="1:3" x14ac:dyDescent="0.35">
      <c r="A187" s="2">
        <v>186</v>
      </c>
      <c r="B187" t="s">
        <v>188</v>
      </c>
      <c r="C187" s="3">
        <v>0.66700000000000004</v>
      </c>
    </row>
    <row r="188" spans="1:3" x14ac:dyDescent="0.35">
      <c r="A188" s="2">
        <v>187</v>
      </c>
      <c r="B188" t="s">
        <v>189</v>
      </c>
      <c r="C188" s="3">
        <v>0</v>
      </c>
    </row>
    <row r="189" spans="1:3" x14ac:dyDescent="0.35">
      <c r="A189" s="2">
        <v>188</v>
      </c>
      <c r="B189" t="s">
        <v>190</v>
      </c>
      <c r="C189" s="3">
        <v>0</v>
      </c>
    </row>
    <row r="190" spans="1:3" x14ac:dyDescent="0.35">
      <c r="A190" s="2">
        <v>189</v>
      </c>
      <c r="B190" t="s">
        <v>191</v>
      </c>
      <c r="C190" s="3">
        <v>0</v>
      </c>
    </row>
    <row r="191" spans="1:3" x14ac:dyDescent="0.35">
      <c r="A191" s="2">
        <v>190</v>
      </c>
      <c r="B191" t="s">
        <v>192</v>
      </c>
      <c r="C191" s="3">
        <v>0</v>
      </c>
    </row>
    <row r="192" spans="1:3" x14ac:dyDescent="0.35">
      <c r="A192" s="2">
        <v>191</v>
      </c>
      <c r="B192" t="s">
        <v>193</v>
      </c>
      <c r="C192" s="3">
        <v>0</v>
      </c>
    </row>
    <row r="193" spans="1:3" x14ac:dyDescent="0.35">
      <c r="A193" s="2">
        <v>192</v>
      </c>
      <c r="B193" t="s">
        <v>194</v>
      </c>
      <c r="C193" s="3">
        <v>0</v>
      </c>
    </row>
    <row r="194" spans="1:3" x14ac:dyDescent="0.35">
      <c r="A194" s="2">
        <v>193</v>
      </c>
      <c r="B194" t="s">
        <v>195</v>
      </c>
      <c r="C194" s="3">
        <v>0</v>
      </c>
    </row>
    <row r="195" spans="1:3" x14ac:dyDescent="0.35">
      <c r="A195" s="2">
        <v>194</v>
      </c>
      <c r="B195" t="s">
        <v>196</v>
      </c>
      <c r="C195" s="3">
        <v>0</v>
      </c>
    </row>
    <row r="196" spans="1:3" x14ac:dyDescent="0.35">
      <c r="A196" s="2">
        <v>195</v>
      </c>
      <c r="B196" t="s">
        <v>197</v>
      </c>
      <c r="C196" s="3">
        <v>0</v>
      </c>
    </row>
    <row r="197" spans="1:3" x14ac:dyDescent="0.35">
      <c r="A197" s="2">
        <v>196</v>
      </c>
      <c r="B197" t="s">
        <v>198</v>
      </c>
      <c r="C197" s="3">
        <v>0</v>
      </c>
    </row>
    <row r="198" spans="1:3" x14ac:dyDescent="0.35">
      <c r="A198" s="2">
        <v>197</v>
      </c>
      <c r="B198" t="s">
        <v>199</v>
      </c>
      <c r="C198" s="3">
        <v>0</v>
      </c>
    </row>
    <row r="199" spans="1:3" x14ac:dyDescent="0.35">
      <c r="A199" s="2">
        <v>198</v>
      </c>
      <c r="B199" t="s">
        <v>200</v>
      </c>
      <c r="C199" s="3">
        <v>0</v>
      </c>
    </row>
    <row r="200" spans="1:3" x14ac:dyDescent="0.35">
      <c r="A200" s="2">
        <v>199</v>
      </c>
      <c r="B200" t="s">
        <v>201</v>
      </c>
      <c r="C200" s="3">
        <v>0</v>
      </c>
    </row>
    <row r="201" spans="1:3" x14ac:dyDescent="0.35">
      <c r="A201" s="2">
        <v>200</v>
      </c>
      <c r="B201" t="s">
        <v>202</v>
      </c>
      <c r="C201" s="3">
        <v>0</v>
      </c>
    </row>
    <row r="202" spans="1:3" x14ac:dyDescent="0.35">
      <c r="A202" s="2">
        <v>201</v>
      </c>
      <c r="B202" t="s">
        <v>203</v>
      </c>
      <c r="C202" s="3">
        <v>0</v>
      </c>
    </row>
    <row r="203" spans="1:3" x14ac:dyDescent="0.35">
      <c r="A203" s="2">
        <v>202</v>
      </c>
      <c r="B203" t="s">
        <v>204</v>
      </c>
      <c r="C203" s="3">
        <v>0</v>
      </c>
    </row>
    <row r="204" spans="1:3" x14ac:dyDescent="0.35">
      <c r="A204" s="2">
        <v>203</v>
      </c>
      <c r="B204" t="s">
        <v>205</v>
      </c>
      <c r="C204" s="3">
        <v>0.375</v>
      </c>
    </row>
    <row r="205" spans="1:3" x14ac:dyDescent="0.35">
      <c r="A205" s="2">
        <v>204</v>
      </c>
      <c r="B205" t="s">
        <v>206</v>
      </c>
      <c r="C205" s="3">
        <v>0.5</v>
      </c>
    </row>
    <row r="206" spans="1:3" x14ac:dyDescent="0.35">
      <c r="A206" s="2">
        <v>205</v>
      </c>
      <c r="B206" t="s">
        <v>207</v>
      </c>
      <c r="C206" s="3">
        <v>0</v>
      </c>
    </row>
    <row r="207" spans="1:3" x14ac:dyDescent="0.35">
      <c r="A207" s="2">
        <v>206</v>
      </c>
      <c r="B207" t="s">
        <v>208</v>
      </c>
      <c r="C207" s="3">
        <v>0</v>
      </c>
    </row>
    <row r="208" spans="1:3" x14ac:dyDescent="0.35">
      <c r="A208" s="2">
        <v>207</v>
      </c>
      <c r="B208" t="s">
        <v>209</v>
      </c>
      <c r="C208" s="3">
        <v>0</v>
      </c>
    </row>
    <row r="209" spans="1:3" x14ac:dyDescent="0.35">
      <c r="A209" s="2">
        <v>208</v>
      </c>
      <c r="B209" t="s">
        <v>210</v>
      </c>
      <c r="C209" s="3">
        <v>0</v>
      </c>
    </row>
    <row r="210" spans="1:3" x14ac:dyDescent="0.35">
      <c r="A210" s="2">
        <v>209</v>
      </c>
      <c r="B210" t="s">
        <v>211</v>
      </c>
      <c r="C210" s="3">
        <v>0</v>
      </c>
    </row>
    <row r="211" spans="1:3" x14ac:dyDescent="0.35">
      <c r="A211" s="2">
        <v>210</v>
      </c>
      <c r="B211" t="s">
        <v>212</v>
      </c>
      <c r="C211" s="3">
        <v>0</v>
      </c>
    </row>
    <row r="212" spans="1:3" x14ac:dyDescent="0.35">
      <c r="A212" s="2">
        <v>211</v>
      </c>
      <c r="B212" t="s">
        <v>213</v>
      </c>
      <c r="C212" s="3">
        <v>0</v>
      </c>
    </row>
    <row r="213" spans="1:3" x14ac:dyDescent="0.35">
      <c r="A213" s="2">
        <v>212</v>
      </c>
      <c r="B213" t="s">
        <v>214</v>
      </c>
      <c r="C213" s="3">
        <v>1</v>
      </c>
    </row>
    <row r="214" spans="1:3" x14ac:dyDescent="0.35">
      <c r="A214" s="2">
        <v>213</v>
      </c>
      <c r="B214" t="s">
        <v>215</v>
      </c>
      <c r="C214" s="3">
        <v>0.154</v>
      </c>
    </row>
    <row r="215" spans="1:3" x14ac:dyDescent="0.35">
      <c r="A215" s="2">
        <v>214</v>
      </c>
      <c r="B215" t="s">
        <v>216</v>
      </c>
      <c r="C215" s="3">
        <v>0</v>
      </c>
    </row>
    <row r="216" spans="1:3" x14ac:dyDescent="0.35">
      <c r="A216" s="2">
        <v>215</v>
      </c>
      <c r="B216" t="s">
        <v>217</v>
      </c>
      <c r="C216" s="3">
        <v>0.6</v>
      </c>
    </row>
    <row r="217" spans="1:3" x14ac:dyDescent="0.35">
      <c r="A217" s="2">
        <v>216</v>
      </c>
      <c r="B217" t="s">
        <v>218</v>
      </c>
      <c r="C217" s="3">
        <v>1</v>
      </c>
    </row>
    <row r="218" spans="1:3" x14ac:dyDescent="0.35">
      <c r="A218" s="2">
        <v>217</v>
      </c>
      <c r="B218" t="s">
        <v>219</v>
      </c>
      <c r="C218" s="3">
        <v>0.33300000000000002</v>
      </c>
    </row>
    <row r="219" spans="1:3" x14ac:dyDescent="0.35">
      <c r="A219" s="2">
        <v>218</v>
      </c>
      <c r="B219" t="s">
        <v>220</v>
      </c>
      <c r="C219" s="3">
        <v>0</v>
      </c>
    </row>
    <row r="220" spans="1:3" x14ac:dyDescent="0.35">
      <c r="A220" s="2">
        <v>219</v>
      </c>
      <c r="B220" t="s">
        <v>221</v>
      </c>
      <c r="C220" s="3">
        <v>0</v>
      </c>
    </row>
    <row r="221" spans="1:3" x14ac:dyDescent="0.35">
      <c r="A221" s="2">
        <v>220</v>
      </c>
      <c r="B221" t="s">
        <v>222</v>
      </c>
      <c r="C221" s="3">
        <v>0</v>
      </c>
    </row>
    <row r="222" spans="1:3" x14ac:dyDescent="0.35">
      <c r="A222" s="2">
        <v>221</v>
      </c>
      <c r="B222" t="s">
        <v>223</v>
      </c>
      <c r="C222" s="3">
        <v>0</v>
      </c>
    </row>
    <row r="223" spans="1:3" x14ac:dyDescent="0.35">
      <c r="A223" s="2">
        <v>222</v>
      </c>
      <c r="B223" t="s">
        <v>224</v>
      </c>
      <c r="C223" s="3">
        <v>0.5</v>
      </c>
    </row>
    <row r="224" spans="1:3" x14ac:dyDescent="0.35">
      <c r="A224" s="2">
        <v>223</v>
      </c>
      <c r="B224" t="s">
        <v>225</v>
      </c>
      <c r="C224" s="3">
        <v>0</v>
      </c>
    </row>
    <row r="225" spans="1:4" x14ac:dyDescent="0.35">
      <c r="A225" s="2">
        <v>224</v>
      </c>
      <c r="B225" t="s">
        <v>226</v>
      </c>
      <c r="C225" s="3">
        <v>0</v>
      </c>
    </row>
    <row r="226" spans="1:4" x14ac:dyDescent="0.35">
      <c r="A226" s="2">
        <v>225</v>
      </c>
      <c r="B226" s="5" t="s">
        <v>297</v>
      </c>
      <c r="C226" s="4">
        <v>0.5083333333333333</v>
      </c>
      <c r="D226" s="3"/>
    </row>
    <row r="227" spans="1:4" x14ac:dyDescent="0.35">
      <c r="A227" s="2">
        <v>226</v>
      </c>
      <c r="B227" t="s">
        <v>228</v>
      </c>
      <c r="C227" s="3">
        <v>0</v>
      </c>
    </row>
    <row r="228" spans="1:4" x14ac:dyDescent="0.35">
      <c r="A228" s="2">
        <v>227</v>
      </c>
      <c r="B228" s="5" t="s">
        <v>296</v>
      </c>
      <c r="C228" s="4">
        <v>0.38181818181818183</v>
      </c>
      <c r="D228" s="3"/>
    </row>
    <row r="229" spans="1:4" x14ac:dyDescent="0.35">
      <c r="A229" s="2">
        <v>228</v>
      </c>
      <c r="B229" t="s">
        <v>230</v>
      </c>
      <c r="C229" s="3">
        <v>0.5</v>
      </c>
    </row>
    <row r="230" spans="1:4" x14ac:dyDescent="0.35">
      <c r="A230" s="2">
        <v>229</v>
      </c>
      <c r="B230" t="s">
        <v>231</v>
      </c>
      <c r="C230" s="3">
        <v>0</v>
      </c>
    </row>
    <row r="231" spans="1:4" x14ac:dyDescent="0.35">
      <c r="A231" s="2">
        <v>230</v>
      </c>
      <c r="B231" t="s">
        <v>232</v>
      </c>
      <c r="C231" s="3">
        <v>0.16700000000000001</v>
      </c>
    </row>
    <row r="232" spans="1:4" x14ac:dyDescent="0.35">
      <c r="A232" s="2">
        <v>231</v>
      </c>
      <c r="B232" t="s">
        <v>233</v>
      </c>
      <c r="C232" s="3">
        <v>0.33300000000000002</v>
      </c>
    </row>
    <row r="233" spans="1:4" x14ac:dyDescent="0.35">
      <c r="A233" s="2">
        <v>232</v>
      </c>
      <c r="B233" t="s">
        <v>234</v>
      </c>
      <c r="C233" s="3">
        <v>0.33300000000000002</v>
      </c>
    </row>
    <row r="234" spans="1:4" x14ac:dyDescent="0.35">
      <c r="A234" s="2">
        <v>233</v>
      </c>
      <c r="B234" t="s">
        <v>235</v>
      </c>
      <c r="C234" s="3">
        <v>0.26700000000000002</v>
      </c>
    </row>
    <row r="235" spans="1:4" x14ac:dyDescent="0.35">
      <c r="A235" s="2">
        <v>234</v>
      </c>
      <c r="B235" s="5" t="s">
        <v>295</v>
      </c>
      <c r="C235" s="4">
        <v>2.3166023166023165E-2</v>
      </c>
      <c r="D235" s="3"/>
    </row>
    <row r="236" spans="1:4" x14ac:dyDescent="0.35">
      <c r="A236" s="2">
        <v>235</v>
      </c>
      <c r="B236" s="5" t="s">
        <v>237</v>
      </c>
      <c r="C236" s="3">
        <v>0.5</v>
      </c>
    </row>
    <row r="237" spans="1:4" x14ac:dyDescent="0.35">
      <c r="A237" s="2">
        <v>236</v>
      </c>
      <c r="B237" t="s">
        <v>238</v>
      </c>
      <c r="C237" s="3">
        <v>0</v>
      </c>
    </row>
    <row r="238" spans="1:4" x14ac:dyDescent="0.35">
      <c r="A238" s="2">
        <v>237</v>
      </c>
      <c r="B238" s="5" t="s">
        <v>293</v>
      </c>
      <c r="C238" s="4">
        <v>4.3209876543209874E-2</v>
      </c>
      <c r="D238" s="3"/>
    </row>
    <row r="239" spans="1:4" x14ac:dyDescent="0.35">
      <c r="A239" s="2">
        <v>238</v>
      </c>
      <c r="B239" s="5" t="s">
        <v>294</v>
      </c>
      <c r="C239" s="4">
        <v>0.18864285714285714</v>
      </c>
      <c r="D239" s="3"/>
    </row>
    <row r="240" spans="1:4" x14ac:dyDescent="0.35">
      <c r="A240" s="2">
        <v>239</v>
      </c>
      <c r="B240" t="s">
        <v>241</v>
      </c>
      <c r="C240" s="3">
        <v>0</v>
      </c>
    </row>
    <row r="241" spans="1:3" x14ac:dyDescent="0.35">
      <c r="A241" s="2">
        <v>240</v>
      </c>
      <c r="B241" t="s">
        <v>242</v>
      </c>
      <c r="C241" s="3">
        <v>0.33300000000000002</v>
      </c>
    </row>
    <row r="242" spans="1:3" x14ac:dyDescent="0.35">
      <c r="A242" s="2">
        <v>241</v>
      </c>
      <c r="B242" t="s">
        <v>243</v>
      </c>
      <c r="C242" s="3">
        <v>0.214</v>
      </c>
    </row>
    <row r="243" spans="1:3" x14ac:dyDescent="0.35">
      <c r="A243" s="2">
        <v>242</v>
      </c>
      <c r="B243" t="s">
        <v>244</v>
      </c>
      <c r="C243" s="3">
        <v>0.25</v>
      </c>
    </row>
    <row r="244" spans="1:3" x14ac:dyDescent="0.35">
      <c r="A244" s="2">
        <v>243</v>
      </c>
      <c r="B244" t="s">
        <v>245</v>
      </c>
      <c r="C244" s="3">
        <v>0</v>
      </c>
    </row>
    <row r="245" spans="1:3" x14ac:dyDescent="0.35">
      <c r="A245" s="2">
        <v>244</v>
      </c>
      <c r="B245" t="s">
        <v>246</v>
      </c>
      <c r="C245" s="3">
        <v>0</v>
      </c>
    </row>
    <row r="246" spans="1:3" x14ac:dyDescent="0.35">
      <c r="A246" s="2">
        <v>245</v>
      </c>
      <c r="B246" t="s">
        <v>247</v>
      </c>
      <c r="C246" s="3">
        <v>0</v>
      </c>
    </row>
    <row r="247" spans="1:3" x14ac:dyDescent="0.35">
      <c r="A247" s="2">
        <v>246</v>
      </c>
      <c r="B247" t="s">
        <v>248</v>
      </c>
      <c r="C247" s="3">
        <v>0</v>
      </c>
    </row>
    <row r="248" spans="1:3" x14ac:dyDescent="0.35">
      <c r="A248" s="2">
        <v>247</v>
      </c>
      <c r="B248" t="s">
        <v>249</v>
      </c>
      <c r="C248" s="3">
        <v>0</v>
      </c>
    </row>
    <row r="249" spans="1:3" x14ac:dyDescent="0.35">
      <c r="A249" s="2">
        <v>248</v>
      </c>
      <c r="B249" t="s">
        <v>250</v>
      </c>
      <c r="C249" s="3">
        <v>0</v>
      </c>
    </row>
    <row r="250" spans="1:3" x14ac:dyDescent="0.35">
      <c r="A250" s="2">
        <v>249</v>
      </c>
      <c r="B250" t="s">
        <v>251</v>
      </c>
      <c r="C250" s="3">
        <v>0</v>
      </c>
    </row>
    <row r="251" spans="1:3" x14ac:dyDescent="0.35">
      <c r="A251" s="2">
        <v>250</v>
      </c>
      <c r="B251" t="s">
        <v>252</v>
      </c>
      <c r="C251" s="3">
        <v>0</v>
      </c>
    </row>
    <row r="252" spans="1:3" x14ac:dyDescent="0.35">
      <c r="A252" s="2">
        <v>251</v>
      </c>
      <c r="B252" t="s">
        <v>253</v>
      </c>
      <c r="C252" s="3">
        <v>0.2</v>
      </c>
    </row>
    <row r="253" spans="1:3" x14ac:dyDescent="0.35">
      <c r="A253" s="2">
        <v>252</v>
      </c>
      <c r="B253" t="s">
        <v>254</v>
      </c>
      <c r="C253" s="3">
        <v>0.33300000000000002</v>
      </c>
    </row>
    <row r="254" spans="1:3" x14ac:dyDescent="0.35">
      <c r="A254" s="2">
        <v>253</v>
      </c>
      <c r="B254" t="s">
        <v>255</v>
      </c>
      <c r="C254" s="3">
        <v>0.25</v>
      </c>
    </row>
    <row r="255" spans="1:3" x14ac:dyDescent="0.35">
      <c r="A255" s="2">
        <v>254</v>
      </c>
      <c r="B255" t="s">
        <v>256</v>
      </c>
      <c r="C255" s="3">
        <v>0</v>
      </c>
    </row>
    <row r="256" spans="1:3" x14ac:dyDescent="0.35">
      <c r="A256" s="2">
        <v>255</v>
      </c>
      <c r="B256" t="s">
        <v>257</v>
      </c>
      <c r="C256" s="3">
        <v>0</v>
      </c>
    </row>
    <row r="257" spans="1:4" x14ac:dyDescent="0.35">
      <c r="A257" s="2">
        <v>256</v>
      </c>
      <c r="B257" t="s">
        <v>258</v>
      </c>
      <c r="C257" s="3">
        <v>0</v>
      </c>
    </row>
    <row r="258" spans="1:4" x14ac:dyDescent="0.35">
      <c r="A258" s="2">
        <v>257</v>
      </c>
      <c r="B258" t="s">
        <v>259</v>
      </c>
      <c r="C258" s="3">
        <v>0.33300000000000002</v>
      </c>
    </row>
    <row r="259" spans="1:4" x14ac:dyDescent="0.35">
      <c r="A259" s="2">
        <v>258</v>
      </c>
      <c r="B259" t="s">
        <v>260</v>
      </c>
      <c r="C259" s="3">
        <v>0</v>
      </c>
    </row>
    <row r="260" spans="1:4" x14ac:dyDescent="0.35">
      <c r="A260" s="2">
        <v>259</v>
      </c>
      <c r="B260" t="s">
        <v>261</v>
      </c>
      <c r="C260" s="3">
        <v>0</v>
      </c>
    </row>
    <row r="261" spans="1:4" x14ac:dyDescent="0.35">
      <c r="A261" s="2">
        <v>260</v>
      </c>
      <c r="B261" t="s">
        <v>262</v>
      </c>
      <c r="C261" s="3">
        <v>1</v>
      </c>
    </row>
    <row r="262" spans="1:4" x14ac:dyDescent="0.35">
      <c r="A262" s="2">
        <v>261</v>
      </c>
      <c r="B262" t="s">
        <v>263</v>
      </c>
      <c r="C262" s="3">
        <v>0</v>
      </c>
    </row>
    <row r="263" spans="1:4" x14ac:dyDescent="0.35">
      <c r="A263" s="2">
        <v>262</v>
      </c>
      <c r="B263" t="s">
        <v>264</v>
      </c>
      <c r="C263" s="3">
        <v>0.33300000000000002</v>
      </c>
    </row>
    <row r="264" spans="1:4" x14ac:dyDescent="0.35">
      <c r="A264" s="2">
        <v>263</v>
      </c>
      <c r="B264" t="s">
        <v>265</v>
      </c>
      <c r="C264" s="3">
        <v>0.222</v>
      </c>
    </row>
    <row r="265" spans="1:4" x14ac:dyDescent="0.35">
      <c r="A265" s="2">
        <v>264</v>
      </c>
      <c r="B265" t="s">
        <v>266</v>
      </c>
      <c r="C265" s="3">
        <v>0.25</v>
      </c>
    </row>
    <row r="266" spans="1:4" x14ac:dyDescent="0.35">
      <c r="A266" s="2">
        <v>265</v>
      </c>
      <c r="B266" t="s">
        <v>267</v>
      </c>
      <c r="C266" s="3">
        <v>1</v>
      </c>
    </row>
    <row r="267" spans="1:4" x14ac:dyDescent="0.35">
      <c r="A267" s="2">
        <v>266</v>
      </c>
      <c r="B267" t="s">
        <v>268</v>
      </c>
      <c r="C267" s="3">
        <v>0</v>
      </c>
    </row>
    <row r="268" spans="1:4" x14ac:dyDescent="0.35">
      <c r="A268" s="2">
        <v>267</v>
      </c>
      <c r="B268" t="s">
        <v>269</v>
      </c>
      <c r="C268" s="3">
        <v>0</v>
      </c>
    </row>
    <row r="269" spans="1:4" x14ac:dyDescent="0.35">
      <c r="A269" s="2">
        <v>268</v>
      </c>
      <c r="B269" s="5" t="s">
        <v>270</v>
      </c>
      <c r="C269" s="3">
        <v>0</v>
      </c>
    </row>
    <row r="270" spans="1:4" x14ac:dyDescent="0.35">
      <c r="A270" s="2">
        <v>269</v>
      </c>
      <c r="B270" s="5" t="s">
        <v>292</v>
      </c>
      <c r="C270" s="4">
        <v>0.19318181818181818</v>
      </c>
      <c r="D270" s="3"/>
    </row>
    <row r="271" spans="1:4" x14ac:dyDescent="0.35">
      <c r="A271" s="2">
        <v>270</v>
      </c>
      <c r="B271" t="s">
        <v>272</v>
      </c>
      <c r="C271" s="3">
        <v>0</v>
      </c>
    </row>
    <row r="272" spans="1:4" x14ac:dyDescent="0.35">
      <c r="A272" s="2">
        <v>271</v>
      </c>
      <c r="B272" t="s">
        <v>273</v>
      </c>
      <c r="C272" s="3">
        <v>0</v>
      </c>
    </row>
    <row r="273" spans="1:4" x14ac:dyDescent="0.35">
      <c r="A273" s="2">
        <v>272</v>
      </c>
      <c r="B273" t="s">
        <v>274</v>
      </c>
      <c r="C273" s="3">
        <v>1</v>
      </c>
    </row>
    <row r="274" spans="1:4" x14ac:dyDescent="0.35">
      <c r="A274" s="2">
        <v>273</v>
      </c>
      <c r="B274" t="s">
        <v>275</v>
      </c>
      <c r="C274" s="3">
        <v>1</v>
      </c>
    </row>
    <row r="275" spans="1:4" x14ac:dyDescent="0.35">
      <c r="A275" s="2">
        <v>274</v>
      </c>
      <c r="B275" t="s">
        <v>276</v>
      </c>
      <c r="C275" s="3">
        <v>0</v>
      </c>
    </row>
    <row r="276" spans="1:4" x14ac:dyDescent="0.35">
      <c r="A276" s="2">
        <v>275</v>
      </c>
      <c r="B276" t="s">
        <v>277</v>
      </c>
      <c r="C276" s="3">
        <v>0.5</v>
      </c>
    </row>
    <row r="277" spans="1:4" x14ac:dyDescent="0.35">
      <c r="A277" s="2">
        <v>276</v>
      </c>
      <c r="B277" t="s">
        <v>278</v>
      </c>
      <c r="C277" s="3">
        <v>0.5</v>
      </c>
    </row>
    <row r="278" spans="1:4" x14ac:dyDescent="0.35">
      <c r="A278" s="2">
        <v>277</v>
      </c>
      <c r="B278" t="s">
        <v>279</v>
      </c>
      <c r="C278" s="3">
        <v>0</v>
      </c>
    </row>
    <row r="279" spans="1:4" x14ac:dyDescent="0.35">
      <c r="A279" s="2">
        <v>278</v>
      </c>
      <c r="B279" t="s">
        <v>280</v>
      </c>
      <c r="C279" s="3">
        <v>0</v>
      </c>
    </row>
    <row r="280" spans="1:4" x14ac:dyDescent="0.35">
      <c r="A280" s="2">
        <v>279</v>
      </c>
      <c r="B280" t="s">
        <v>281</v>
      </c>
      <c r="C280" s="3">
        <v>0</v>
      </c>
    </row>
    <row r="281" spans="1:4" x14ac:dyDescent="0.35">
      <c r="A281" s="2">
        <v>280</v>
      </c>
      <c r="B281" t="s">
        <v>282</v>
      </c>
      <c r="C281" s="3">
        <v>0</v>
      </c>
    </row>
    <row r="282" spans="1:4" x14ac:dyDescent="0.35">
      <c r="A282" s="2">
        <v>281</v>
      </c>
      <c r="B282" t="s">
        <v>283</v>
      </c>
      <c r="C282" s="3">
        <v>0</v>
      </c>
    </row>
    <row r="283" spans="1:4" x14ac:dyDescent="0.35">
      <c r="A283" s="2">
        <v>282</v>
      </c>
      <c r="B283" t="s">
        <v>284</v>
      </c>
      <c r="C283" s="3">
        <v>0</v>
      </c>
    </row>
    <row r="284" spans="1:4" x14ac:dyDescent="0.35">
      <c r="A284" s="2">
        <v>283</v>
      </c>
      <c r="B284" t="s">
        <v>285</v>
      </c>
      <c r="C284" s="3">
        <v>0</v>
      </c>
    </row>
    <row r="285" spans="1:4" x14ac:dyDescent="0.35">
      <c r="A285" s="2">
        <v>284</v>
      </c>
      <c r="B285" s="5" t="s">
        <v>298</v>
      </c>
      <c r="C285" s="4">
        <v>0.30833333333333335</v>
      </c>
      <c r="D285" s="3"/>
    </row>
    <row r="286" spans="1:4" x14ac:dyDescent="0.35">
      <c r="A286" s="2">
        <v>285</v>
      </c>
      <c r="B286" s="5" t="s">
        <v>287</v>
      </c>
      <c r="C286" s="3">
        <v>0.46200000000000002</v>
      </c>
    </row>
    <row r="287" spans="1:4" x14ac:dyDescent="0.35">
      <c r="A287" s="2">
        <v>286</v>
      </c>
      <c r="B287" t="s">
        <v>288</v>
      </c>
      <c r="C287" s="3">
        <v>0.188</v>
      </c>
    </row>
    <row r="288" spans="1:4" x14ac:dyDescent="0.35">
      <c r="A288" s="2">
        <v>287</v>
      </c>
      <c r="B288" t="s">
        <v>289</v>
      </c>
      <c r="C288" s="3">
        <v>0</v>
      </c>
    </row>
    <row r="289" spans="1:3" x14ac:dyDescent="0.35">
      <c r="A289" s="2">
        <v>288</v>
      </c>
      <c r="B289" t="s">
        <v>290</v>
      </c>
      <c r="C289" s="3">
        <v>0</v>
      </c>
    </row>
    <row r="290" spans="1:3" x14ac:dyDescent="0.35">
      <c r="A290" s="2">
        <v>289</v>
      </c>
      <c r="B290" t="s">
        <v>291</v>
      </c>
      <c r="C290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10E2-E555-46AD-A279-E824A8A1951E}">
  <sheetPr codeName="Sheet4"/>
  <dimension ref="A1:AI1000"/>
  <sheetViews>
    <sheetView topLeftCell="H34" zoomScale="90" zoomScaleNormal="90" workbookViewId="0">
      <selection activeCell="D270" sqref="D270"/>
    </sheetView>
  </sheetViews>
  <sheetFormatPr defaultRowHeight="13" x14ac:dyDescent="0.3"/>
  <cols>
    <col min="1" max="1" width="3.7265625" style="9" bestFit="1" customWidth="1"/>
    <col min="2" max="2" width="21.81640625" style="9" hidden="1" customWidth="1"/>
    <col min="3" max="3" width="84" style="9" bestFit="1" customWidth="1"/>
    <col min="4" max="4" width="84" style="9" customWidth="1"/>
    <col min="5" max="5" width="7.453125" style="9" bestFit="1" customWidth="1"/>
    <col min="6" max="6" width="29.08984375" style="9" bestFit="1" customWidth="1"/>
    <col min="7" max="7" width="9.6328125" style="9" bestFit="1" customWidth="1"/>
    <col min="8" max="8" width="29.08984375" style="9" bestFit="1" customWidth="1"/>
    <col min="9" max="9" width="9.6328125" style="9" bestFit="1" customWidth="1"/>
    <col min="10" max="10" width="29.08984375" style="9" bestFit="1" customWidth="1"/>
    <col min="11" max="11" width="10" style="9" bestFit="1" customWidth="1"/>
    <col min="12" max="12" width="32.6328125" style="9" bestFit="1" customWidth="1"/>
    <col min="13" max="13" width="8.453125" style="9" bestFit="1" customWidth="1"/>
    <col min="14" max="14" width="11.81640625" style="9" bestFit="1" customWidth="1"/>
    <col min="15" max="15" width="12.1796875" style="9" bestFit="1" customWidth="1"/>
    <col min="16" max="16" width="30.6328125" style="9" bestFit="1" customWidth="1"/>
    <col min="17" max="17" width="8.7265625" style="9"/>
    <col min="18" max="18" width="7.54296875" style="9" bestFit="1" customWidth="1"/>
    <col min="19" max="19" width="6.453125" style="9" bestFit="1" customWidth="1"/>
    <col min="20" max="20" width="11.81640625" style="9" bestFit="1" customWidth="1"/>
    <col min="21" max="21" width="10.7265625" style="9" bestFit="1" customWidth="1"/>
    <col min="22" max="16384" width="8.7265625" style="9"/>
  </cols>
  <sheetData>
    <row r="1" spans="1:35" x14ac:dyDescent="0.3">
      <c r="A1" s="42"/>
      <c r="B1" s="42"/>
      <c r="C1" s="42"/>
      <c r="D1" s="42"/>
      <c r="E1" s="42"/>
      <c r="F1" s="42"/>
      <c r="G1" s="6"/>
      <c r="H1" s="6"/>
      <c r="I1" s="7" t="s">
        <v>301</v>
      </c>
      <c r="J1" s="7" t="s">
        <v>302</v>
      </c>
      <c r="K1" s="7" t="s">
        <v>303</v>
      </c>
      <c r="L1" s="7" t="s">
        <v>304</v>
      </c>
      <c r="M1" s="8">
        <v>0</v>
      </c>
      <c r="N1" s="7" t="s">
        <v>305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x14ac:dyDescent="0.3">
      <c r="A2" s="42"/>
      <c r="B2" s="42"/>
      <c r="C2" s="42"/>
      <c r="D2" s="42"/>
      <c r="E2" s="42"/>
      <c r="F2" s="42"/>
      <c r="G2" s="6"/>
      <c r="H2" s="6" t="s">
        <v>306</v>
      </c>
      <c r="I2" s="10">
        <v>3</v>
      </c>
      <c r="J2" s="10">
        <v>2</v>
      </c>
      <c r="K2" s="10">
        <v>1</v>
      </c>
      <c r="L2" s="10">
        <v>0.75</v>
      </c>
      <c r="M2" s="10">
        <v>0.5</v>
      </c>
      <c r="N2" s="10">
        <v>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x14ac:dyDescent="0.3">
      <c r="A3" s="42"/>
      <c r="B3" s="42"/>
      <c r="C3" s="42"/>
      <c r="D3" s="42"/>
      <c r="E3" s="42"/>
      <c r="F3" s="42"/>
      <c r="G3" s="6"/>
      <c r="H3" s="6" t="s">
        <v>307</v>
      </c>
      <c r="I3" s="10">
        <v>3.5</v>
      </c>
      <c r="J3" s="10">
        <v>2.5</v>
      </c>
      <c r="K3" s="10">
        <v>1.5</v>
      </c>
      <c r="L3" s="10">
        <v>0.75</v>
      </c>
      <c r="M3" s="10">
        <v>0.5</v>
      </c>
      <c r="N3" s="10">
        <v>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3">
      <c r="A4" s="6"/>
      <c r="B4" s="6"/>
      <c r="C4" s="6"/>
      <c r="D4" s="6"/>
      <c r="E4" s="6"/>
      <c r="F4" s="6"/>
      <c r="G4" s="29"/>
      <c r="H4" s="6"/>
      <c r="I4" s="29"/>
      <c r="J4" s="6"/>
      <c r="K4" s="29"/>
      <c r="L4" s="2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x14ac:dyDescent="0.3">
      <c r="A5" s="11"/>
      <c r="B5" s="11"/>
      <c r="C5" s="11"/>
      <c r="D5" s="11"/>
      <c r="E5" s="11"/>
      <c r="F5" s="43">
        <v>2021</v>
      </c>
      <c r="G5" s="43"/>
      <c r="H5" s="43">
        <v>2022</v>
      </c>
      <c r="I5" s="43"/>
      <c r="J5" s="43">
        <v>2023</v>
      </c>
      <c r="K5" s="43"/>
      <c r="L5" s="13" t="s">
        <v>308</v>
      </c>
      <c r="M5" s="11"/>
      <c r="N5" s="11"/>
      <c r="O5" s="11"/>
      <c r="P5" s="11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">
      <c r="A6" s="12" t="s">
        <v>309</v>
      </c>
      <c r="B6" s="12" t="s">
        <v>310</v>
      </c>
      <c r="C6" s="12" t="s">
        <v>311</v>
      </c>
      <c r="D6" s="12"/>
      <c r="E6" s="12" t="s">
        <v>312</v>
      </c>
      <c r="F6" s="12" t="s">
        <v>313</v>
      </c>
      <c r="G6" s="12" t="s">
        <v>314</v>
      </c>
      <c r="H6" s="12" t="s">
        <v>313</v>
      </c>
      <c r="I6" s="12" t="s">
        <v>314</v>
      </c>
      <c r="J6" s="12" t="s">
        <v>313</v>
      </c>
      <c r="K6" s="12" t="s">
        <v>314</v>
      </c>
      <c r="L6" s="14" t="s">
        <v>315</v>
      </c>
      <c r="M6" s="12" t="s">
        <v>316</v>
      </c>
      <c r="N6" s="12" t="s">
        <v>317</v>
      </c>
      <c r="O6" s="12" t="s">
        <v>318</v>
      </c>
      <c r="P6" s="12" t="s">
        <v>319</v>
      </c>
      <c r="Q6" s="6"/>
      <c r="R6" s="40" t="s">
        <v>320</v>
      </c>
      <c r="S6" s="40"/>
      <c r="T6" s="40" t="s">
        <v>321</v>
      </c>
      <c r="U6" s="40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3">
      <c r="A7" s="11"/>
      <c r="B7" s="16" t="s">
        <v>322</v>
      </c>
      <c r="C7" s="11" t="s">
        <v>278</v>
      </c>
      <c r="D7" s="11" t="s">
        <v>278</v>
      </c>
      <c r="E7" s="16" t="s">
        <v>306</v>
      </c>
      <c r="F7" s="16">
        <v>5</v>
      </c>
      <c r="G7" s="16">
        <v>1</v>
      </c>
      <c r="H7" s="16">
        <v>1</v>
      </c>
      <c r="I7" s="16">
        <v>1</v>
      </c>
      <c r="J7" s="16">
        <v>4</v>
      </c>
      <c r="K7" s="16">
        <v>2</v>
      </c>
      <c r="L7" s="17">
        <v>0.4</v>
      </c>
      <c r="M7" s="18">
        <v>1</v>
      </c>
      <c r="N7" s="11"/>
      <c r="O7" s="12" t="s">
        <v>323</v>
      </c>
      <c r="P7" s="12" t="s">
        <v>324</v>
      </c>
      <c r="Q7" s="6"/>
      <c r="R7" s="15" t="s">
        <v>325</v>
      </c>
      <c r="S7" s="15" t="s">
        <v>326</v>
      </c>
      <c r="T7" s="15" t="s">
        <v>317</v>
      </c>
      <c r="U7" s="15" t="s">
        <v>327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3">
      <c r="A8" s="11"/>
      <c r="B8" s="16" t="s">
        <v>322</v>
      </c>
      <c r="C8" s="11" t="s">
        <v>328</v>
      </c>
      <c r="D8" s="11" t="s">
        <v>328</v>
      </c>
      <c r="E8" s="16" t="s">
        <v>306</v>
      </c>
      <c r="F8" s="16">
        <v>5</v>
      </c>
      <c r="G8" s="16">
        <v>1</v>
      </c>
      <c r="H8" s="16">
        <v>2</v>
      </c>
      <c r="I8" s="16">
        <v>1</v>
      </c>
      <c r="J8" s="16">
        <v>2</v>
      </c>
      <c r="K8" s="16">
        <v>1</v>
      </c>
      <c r="L8" s="17">
        <v>0.33329999999999999</v>
      </c>
      <c r="M8" s="18">
        <v>1</v>
      </c>
      <c r="N8" s="11"/>
      <c r="O8" s="12" t="s">
        <v>323</v>
      </c>
      <c r="P8" s="12" t="s">
        <v>324</v>
      </c>
      <c r="Q8" s="6"/>
      <c r="R8" s="10">
        <v>3</v>
      </c>
      <c r="S8" s="10">
        <v>0</v>
      </c>
      <c r="T8" s="10">
        <v>3.5</v>
      </c>
      <c r="U8" s="10">
        <v>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x14ac:dyDescent="0.3">
      <c r="A9" s="11"/>
      <c r="B9" s="16" t="s">
        <v>322</v>
      </c>
      <c r="C9" s="11" t="s">
        <v>275</v>
      </c>
      <c r="D9" s="11" t="s">
        <v>275</v>
      </c>
      <c r="E9" s="16" t="s">
        <v>306</v>
      </c>
      <c r="F9" s="16">
        <v>3</v>
      </c>
      <c r="G9" s="16">
        <v>1</v>
      </c>
      <c r="H9" s="16">
        <v>0</v>
      </c>
      <c r="I9" s="16">
        <v>0</v>
      </c>
      <c r="J9" s="16">
        <v>1</v>
      </c>
      <c r="K9" s="16">
        <v>1</v>
      </c>
      <c r="L9" s="17">
        <v>0.5</v>
      </c>
      <c r="M9" s="14">
        <v>2</v>
      </c>
      <c r="N9" s="11"/>
      <c r="O9" s="12" t="s">
        <v>329</v>
      </c>
      <c r="P9" s="12" t="s">
        <v>324</v>
      </c>
      <c r="Q9" s="6"/>
      <c r="R9" s="10">
        <v>2</v>
      </c>
      <c r="S9" s="10">
        <v>3</v>
      </c>
      <c r="T9" s="10">
        <v>2.5</v>
      </c>
      <c r="U9" s="10">
        <v>3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x14ac:dyDescent="0.3">
      <c r="A10" s="11"/>
      <c r="B10" s="16" t="s">
        <v>322</v>
      </c>
      <c r="C10" s="11" t="s">
        <v>277</v>
      </c>
      <c r="D10" s="11" t="s">
        <v>277</v>
      </c>
      <c r="E10" s="16" t="s">
        <v>306</v>
      </c>
      <c r="F10" s="16">
        <v>9</v>
      </c>
      <c r="G10" s="16">
        <v>2</v>
      </c>
      <c r="H10" s="16">
        <v>2</v>
      </c>
      <c r="I10" s="16">
        <v>0</v>
      </c>
      <c r="J10" s="16">
        <v>2</v>
      </c>
      <c r="K10" s="16">
        <v>0</v>
      </c>
      <c r="L10" s="17">
        <v>0.15379999999999999</v>
      </c>
      <c r="M10" s="18">
        <v>1</v>
      </c>
      <c r="N10" s="11"/>
      <c r="O10" s="12" t="s">
        <v>323</v>
      </c>
      <c r="P10" s="12" t="s">
        <v>324</v>
      </c>
      <c r="Q10" s="6"/>
      <c r="R10" s="10">
        <v>1</v>
      </c>
      <c r="S10" s="10">
        <v>33</v>
      </c>
      <c r="T10" s="10">
        <v>1.5</v>
      </c>
      <c r="U10" s="10">
        <v>33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x14ac:dyDescent="0.3">
      <c r="A11" s="11"/>
      <c r="B11" s="16" t="s">
        <v>322</v>
      </c>
      <c r="C11" s="11" t="s">
        <v>330</v>
      </c>
      <c r="D11" s="11" t="s">
        <v>235</v>
      </c>
      <c r="E11" s="16" t="s">
        <v>306</v>
      </c>
      <c r="F11" s="16">
        <v>57</v>
      </c>
      <c r="G11" s="16">
        <v>3</v>
      </c>
      <c r="H11" s="16">
        <v>10</v>
      </c>
      <c r="I11" s="16">
        <v>1</v>
      </c>
      <c r="J11" s="16">
        <v>11</v>
      </c>
      <c r="K11" s="16">
        <v>3</v>
      </c>
      <c r="L11" s="17">
        <v>8.9700000000000002E-2</v>
      </c>
      <c r="M11" s="19">
        <v>0.75</v>
      </c>
      <c r="N11" s="11"/>
      <c r="O11" s="12" t="s">
        <v>331</v>
      </c>
      <c r="P11" s="12" t="s">
        <v>324</v>
      </c>
      <c r="Q11" s="6"/>
      <c r="R11" s="10">
        <v>0.75</v>
      </c>
      <c r="S11" s="10">
        <v>12</v>
      </c>
      <c r="T11" s="10">
        <v>0.75</v>
      </c>
      <c r="U11" s="10">
        <v>26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3">
      <c r="A12" s="11"/>
      <c r="B12" s="16" t="s">
        <v>322</v>
      </c>
      <c r="C12" s="11" t="s">
        <v>288</v>
      </c>
      <c r="D12" s="11" t="s">
        <v>288</v>
      </c>
      <c r="E12" s="16" t="s">
        <v>306</v>
      </c>
      <c r="F12" s="16">
        <v>44</v>
      </c>
      <c r="G12" s="16">
        <v>7</v>
      </c>
      <c r="H12" s="16">
        <v>10</v>
      </c>
      <c r="I12" s="16">
        <v>1</v>
      </c>
      <c r="J12" s="16">
        <v>17</v>
      </c>
      <c r="K12" s="16">
        <v>0</v>
      </c>
      <c r="L12" s="17">
        <v>0.11269999999999999</v>
      </c>
      <c r="M12" s="18">
        <v>1</v>
      </c>
      <c r="N12" s="11"/>
      <c r="O12" s="12" t="s">
        <v>323</v>
      </c>
      <c r="P12" s="12" t="s">
        <v>324</v>
      </c>
      <c r="Q12" s="6"/>
      <c r="R12" s="10">
        <v>0.5</v>
      </c>
      <c r="S12" s="10">
        <v>23</v>
      </c>
      <c r="T12" s="10">
        <v>0.5</v>
      </c>
      <c r="U12" s="10">
        <v>165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3">
      <c r="A13" s="11"/>
      <c r="B13" s="16" t="s">
        <v>322</v>
      </c>
      <c r="C13" s="11" t="s">
        <v>243</v>
      </c>
      <c r="D13" s="11" t="s">
        <v>243</v>
      </c>
      <c r="E13" s="16" t="s">
        <v>306</v>
      </c>
      <c r="F13" s="16">
        <v>25</v>
      </c>
      <c r="G13" s="16">
        <v>6</v>
      </c>
      <c r="H13" s="16">
        <v>20</v>
      </c>
      <c r="I13" s="16">
        <v>1</v>
      </c>
      <c r="J13" s="16">
        <v>17</v>
      </c>
      <c r="K13" s="16">
        <v>2</v>
      </c>
      <c r="L13" s="17">
        <v>0.1452</v>
      </c>
      <c r="M13" s="18">
        <v>1</v>
      </c>
      <c r="N13" s="11"/>
      <c r="O13" s="12" t="s">
        <v>323</v>
      </c>
      <c r="P13" s="12" t="s">
        <v>324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x14ac:dyDescent="0.3">
      <c r="A14" s="11"/>
      <c r="B14" s="16" t="s">
        <v>322</v>
      </c>
      <c r="C14" s="11" t="s">
        <v>332</v>
      </c>
      <c r="D14" s="11" t="s">
        <v>332</v>
      </c>
      <c r="E14" s="16" t="s">
        <v>306</v>
      </c>
      <c r="F14" s="16">
        <v>8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20">
        <v>0.5</v>
      </c>
      <c r="N14" s="11"/>
      <c r="O14" s="12" t="s">
        <v>333</v>
      </c>
      <c r="P14" s="12" t="s">
        <v>324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x14ac:dyDescent="0.3">
      <c r="A15" s="11"/>
      <c r="B15" s="16" t="s">
        <v>322</v>
      </c>
      <c r="C15" s="11" t="s">
        <v>290</v>
      </c>
      <c r="D15" s="11" t="s">
        <v>290</v>
      </c>
      <c r="E15" s="16" t="s">
        <v>306</v>
      </c>
      <c r="F15" s="16">
        <v>3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7">
        <v>0.33329999999999999</v>
      </c>
      <c r="M15" s="18">
        <v>1</v>
      </c>
      <c r="N15" s="11"/>
      <c r="O15" s="12" t="s">
        <v>323</v>
      </c>
      <c r="P15" s="12" t="s">
        <v>324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3">
      <c r="A16" s="11"/>
      <c r="B16" s="16" t="s">
        <v>322</v>
      </c>
      <c r="C16" s="11" t="s">
        <v>298</v>
      </c>
      <c r="D16" s="11" t="s">
        <v>298</v>
      </c>
      <c r="E16" s="16" t="s">
        <v>306</v>
      </c>
      <c r="F16" s="16">
        <v>20</v>
      </c>
      <c r="G16" s="16">
        <v>9</v>
      </c>
      <c r="H16" s="16">
        <v>8</v>
      </c>
      <c r="I16" s="16">
        <v>11</v>
      </c>
      <c r="J16" s="16">
        <v>6</v>
      </c>
      <c r="K16" s="16">
        <v>0</v>
      </c>
      <c r="L16" s="17">
        <v>0.58819999999999995</v>
      </c>
      <c r="M16" s="14">
        <v>2</v>
      </c>
      <c r="N16" s="11"/>
      <c r="O16" s="12" t="s">
        <v>329</v>
      </c>
      <c r="P16" s="12" t="s">
        <v>324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3">
      <c r="A17" s="11"/>
      <c r="B17" s="16" t="s">
        <v>322</v>
      </c>
      <c r="C17" s="11" t="s">
        <v>334</v>
      </c>
      <c r="D17" s="11" t="s">
        <v>297</v>
      </c>
      <c r="E17" s="16" t="s">
        <v>306</v>
      </c>
      <c r="F17" s="16">
        <v>31</v>
      </c>
      <c r="G17" s="16">
        <v>11</v>
      </c>
      <c r="H17" s="16">
        <v>20</v>
      </c>
      <c r="I17" s="16">
        <v>1</v>
      </c>
      <c r="J17" s="16">
        <v>9</v>
      </c>
      <c r="K17" s="16">
        <v>3</v>
      </c>
      <c r="L17" s="17">
        <v>0.25</v>
      </c>
      <c r="M17" s="18">
        <v>1</v>
      </c>
      <c r="N17" s="11"/>
      <c r="O17" s="12" t="s">
        <v>323</v>
      </c>
      <c r="P17" s="12" t="s">
        <v>324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3">
      <c r="A18" s="11"/>
      <c r="B18" s="16" t="s">
        <v>322</v>
      </c>
      <c r="C18" s="11" t="s">
        <v>335</v>
      </c>
      <c r="D18" s="11" t="s">
        <v>335</v>
      </c>
      <c r="E18" s="16" t="s">
        <v>306</v>
      </c>
      <c r="F18" s="16">
        <v>21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7">
        <v>0</v>
      </c>
      <c r="M18" s="20">
        <v>0.5</v>
      </c>
      <c r="N18" s="11"/>
      <c r="O18" s="12" t="s">
        <v>333</v>
      </c>
      <c r="P18" s="12" t="s">
        <v>324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3">
      <c r="A19" s="11"/>
      <c r="B19" s="16" t="s">
        <v>322</v>
      </c>
      <c r="C19" s="11" t="s">
        <v>228</v>
      </c>
      <c r="D19" s="11" t="s">
        <v>228</v>
      </c>
      <c r="E19" s="16" t="s">
        <v>306</v>
      </c>
      <c r="F19" s="16">
        <v>1</v>
      </c>
      <c r="G19" s="16">
        <v>0</v>
      </c>
      <c r="H19" s="16">
        <v>2</v>
      </c>
      <c r="I19" s="16">
        <v>0</v>
      </c>
      <c r="J19" s="16">
        <v>2</v>
      </c>
      <c r="K19" s="16">
        <v>0</v>
      </c>
      <c r="L19" s="17">
        <v>0</v>
      </c>
      <c r="M19" s="20">
        <v>0.5</v>
      </c>
      <c r="N19" s="11"/>
      <c r="O19" s="12" t="s">
        <v>333</v>
      </c>
      <c r="P19" s="12" t="s">
        <v>324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3">
      <c r="A20" s="11"/>
      <c r="B20" s="16" t="s">
        <v>322</v>
      </c>
      <c r="C20" s="11" t="s">
        <v>287</v>
      </c>
      <c r="D20" s="11" t="s">
        <v>287</v>
      </c>
      <c r="E20" s="16" t="s">
        <v>306</v>
      </c>
      <c r="F20" s="16">
        <v>26</v>
      </c>
      <c r="G20" s="16">
        <v>7</v>
      </c>
      <c r="H20" s="16">
        <v>10</v>
      </c>
      <c r="I20" s="16">
        <v>4</v>
      </c>
      <c r="J20" s="16">
        <v>28</v>
      </c>
      <c r="K20" s="16">
        <v>5</v>
      </c>
      <c r="L20" s="17">
        <v>0.25</v>
      </c>
      <c r="M20" s="18">
        <v>1</v>
      </c>
      <c r="N20" s="11"/>
      <c r="O20" s="12" t="s">
        <v>323</v>
      </c>
      <c r="P20" s="12" t="s">
        <v>324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3">
      <c r="A21" s="11"/>
      <c r="B21" s="16" t="s">
        <v>322</v>
      </c>
      <c r="C21" s="11" t="s">
        <v>336</v>
      </c>
      <c r="D21" s="11" t="s">
        <v>667</v>
      </c>
      <c r="E21" s="16" t="s">
        <v>306</v>
      </c>
      <c r="F21" s="16">
        <v>2</v>
      </c>
      <c r="G21" s="16">
        <v>0</v>
      </c>
      <c r="H21" s="16">
        <v>2</v>
      </c>
      <c r="I21" s="16">
        <v>0</v>
      </c>
      <c r="J21" s="16">
        <v>0</v>
      </c>
      <c r="K21" s="16">
        <v>0</v>
      </c>
      <c r="L21" s="17">
        <v>0</v>
      </c>
      <c r="M21" s="20">
        <v>0.5</v>
      </c>
      <c r="N21" s="11"/>
      <c r="O21" s="12" t="s">
        <v>333</v>
      </c>
      <c r="P21" s="12" t="s">
        <v>324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3">
      <c r="A22" s="11"/>
      <c r="B22" s="16" t="s">
        <v>322</v>
      </c>
      <c r="C22" s="11" t="s">
        <v>226</v>
      </c>
      <c r="D22" s="11" t="s">
        <v>226</v>
      </c>
      <c r="E22" s="16" t="s">
        <v>306</v>
      </c>
      <c r="F22" s="16">
        <v>8</v>
      </c>
      <c r="G22" s="16">
        <v>0</v>
      </c>
      <c r="H22" s="16">
        <v>8</v>
      </c>
      <c r="I22" s="16">
        <v>0</v>
      </c>
      <c r="J22" s="16">
        <v>0</v>
      </c>
      <c r="K22" s="16">
        <v>0</v>
      </c>
      <c r="L22" s="17">
        <v>0</v>
      </c>
      <c r="M22" s="20">
        <v>0.5</v>
      </c>
      <c r="N22" s="11"/>
      <c r="O22" s="12" t="s">
        <v>333</v>
      </c>
      <c r="P22" s="12" t="s">
        <v>324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x14ac:dyDescent="0.3">
      <c r="A23" s="11"/>
      <c r="B23" s="16" t="s">
        <v>322</v>
      </c>
      <c r="C23" s="11" t="s">
        <v>296</v>
      </c>
      <c r="D23" s="11" t="s">
        <v>296</v>
      </c>
      <c r="E23" s="16" t="s">
        <v>306</v>
      </c>
      <c r="F23" s="16">
        <v>200</v>
      </c>
      <c r="G23" s="16">
        <v>18</v>
      </c>
      <c r="H23" s="16">
        <v>20</v>
      </c>
      <c r="I23" s="16">
        <v>6</v>
      </c>
      <c r="J23" s="16">
        <v>65</v>
      </c>
      <c r="K23" s="16">
        <v>4</v>
      </c>
      <c r="L23" s="17">
        <v>9.8199999999999996E-2</v>
      </c>
      <c r="M23" s="19">
        <v>0.75</v>
      </c>
      <c r="N23" s="11"/>
      <c r="O23" s="12" t="s">
        <v>331</v>
      </c>
      <c r="P23" s="12" t="s">
        <v>324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3">
      <c r="A24" s="11"/>
      <c r="B24" s="11"/>
      <c r="C24" s="11" t="s">
        <v>225</v>
      </c>
      <c r="D24" s="11" t="s">
        <v>225</v>
      </c>
      <c r="E24" s="16" t="s">
        <v>306</v>
      </c>
      <c r="F24" s="16">
        <v>33</v>
      </c>
      <c r="G24" s="16">
        <v>0</v>
      </c>
      <c r="H24" s="16">
        <v>2</v>
      </c>
      <c r="I24" s="16">
        <v>0</v>
      </c>
      <c r="J24" s="16">
        <v>0</v>
      </c>
      <c r="K24" s="16">
        <v>0</v>
      </c>
      <c r="L24" s="17">
        <v>0</v>
      </c>
      <c r="M24" s="20">
        <v>0.5</v>
      </c>
      <c r="N24" s="11"/>
      <c r="O24" s="12" t="s">
        <v>333</v>
      </c>
      <c r="P24" s="12" t="s">
        <v>324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3">
      <c r="A25" s="21"/>
      <c r="B25" s="22" t="s">
        <v>322</v>
      </c>
      <c r="C25" s="21" t="s">
        <v>337</v>
      </c>
      <c r="D25" s="11" t="e">
        <v>#N/A</v>
      </c>
      <c r="E25" s="16" t="s">
        <v>306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1"/>
      <c r="M25" s="11"/>
      <c r="N25" s="11"/>
      <c r="O25" s="12" t="s">
        <v>338</v>
      </c>
      <c r="P25" s="12" t="s">
        <v>324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3">
      <c r="A26" s="21"/>
      <c r="B26" s="22" t="s">
        <v>322</v>
      </c>
      <c r="C26" s="21" t="s">
        <v>339</v>
      </c>
      <c r="D26" s="11" t="e">
        <v>#N/A</v>
      </c>
      <c r="E26" s="16" t="s">
        <v>306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1"/>
      <c r="M26" s="11"/>
      <c r="N26" s="11"/>
      <c r="O26" s="12" t="s">
        <v>338</v>
      </c>
      <c r="P26" s="12" t="s">
        <v>324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3">
      <c r="A27" s="21"/>
      <c r="B27" s="22" t="s">
        <v>322</v>
      </c>
      <c r="C27" s="21" t="s">
        <v>340</v>
      </c>
      <c r="D27" s="11" t="e">
        <v>#N/A</v>
      </c>
      <c r="E27" s="16" t="s">
        <v>306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1"/>
      <c r="M27" s="11"/>
      <c r="N27" s="11"/>
      <c r="O27" s="12" t="s">
        <v>338</v>
      </c>
      <c r="P27" s="12" t="s">
        <v>324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3">
      <c r="A28" s="21"/>
      <c r="B28" s="22" t="s">
        <v>322</v>
      </c>
      <c r="C28" s="21" t="s">
        <v>341</v>
      </c>
      <c r="D28" s="11" t="e">
        <v>#N/A</v>
      </c>
      <c r="E28" s="16" t="s">
        <v>306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1"/>
      <c r="M28" s="11"/>
      <c r="N28" s="11"/>
      <c r="O28" s="12" t="s">
        <v>338</v>
      </c>
      <c r="P28" s="12" t="s">
        <v>324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3">
      <c r="A29" s="11"/>
      <c r="B29" s="16" t="s">
        <v>322</v>
      </c>
      <c r="C29" s="11" t="s">
        <v>274</v>
      </c>
      <c r="D29" s="11" t="s">
        <v>274</v>
      </c>
      <c r="E29" s="16" t="s">
        <v>306</v>
      </c>
      <c r="F29" s="16">
        <v>3</v>
      </c>
      <c r="G29" s="16">
        <v>1</v>
      </c>
      <c r="H29" s="16">
        <v>0</v>
      </c>
      <c r="I29" s="16">
        <v>0</v>
      </c>
      <c r="J29" s="16">
        <v>0</v>
      </c>
      <c r="K29" s="16">
        <v>0</v>
      </c>
      <c r="L29" s="17">
        <v>0.33329999999999999</v>
      </c>
      <c r="M29" s="18">
        <v>1</v>
      </c>
      <c r="N29" s="11"/>
      <c r="O29" s="12" t="s">
        <v>323</v>
      </c>
      <c r="P29" s="12" t="s">
        <v>324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3">
      <c r="A30" s="11"/>
      <c r="B30" s="16" t="s">
        <v>322</v>
      </c>
      <c r="C30" s="11" t="s">
        <v>230</v>
      </c>
      <c r="D30" s="11" t="s">
        <v>230</v>
      </c>
      <c r="E30" s="16" t="s">
        <v>306</v>
      </c>
      <c r="F30" s="16">
        <v>3</v>
      </c>
      <c r="G30" s="16">
        <v>0</v>
      </c>
      <c r="H30" s="16">
        <v>4</v>
      </c>
      <c r="I30" s="16">
        <v>2</v>
      </c>
      <c r="J30" s="16">
        <v>1</v>
      </c>
      <c r="K30" s="16">
        <v>0</v>
      </c>
      <c r="L30" s="17">
        <v>0.25</v>
      </c>
      <c r="M30" s="18">
        <v>1</v>
      </c>
      <c r="N30" s="11"/>
      <c r="O30" s="12" t="s">
        <v>323</v>
      </c>
      <c r="P30" s="12" t="s">
        <v>324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x14ac:dyDescent="0.3">
      <c r="A31" s="11"/>
      <c r="B31" s="16" t="s">
        <v>322</v>
      </c>
      <c r="C31" s="11" t="s">
        <v>293</v>
      </c>
      <c r="D31" s="11" t="s">
        <v>293</v>
      </c>
      <c r="E31" s="16" t="s">
        <v>306</v>
      </c>
      <c r="F31" s="16">
        <v>365</v>
      </c>
      <c r="G31" s="16">
        <v>22</v>
      </c>
      <c r="H31" s="16">
        <v>25</v>
      </c>
      <c r="I31" s="16">
        <v>1</v>
      </c>
      <c r="J31" s="16">
        <v>8</v>
      </c>
      <c r="K31" s="16">
        <v>0</v>
      </c>
      <c r="L31" s="17">
        <v>5.7799999999999997E-2</v>
      </c>
      <c r="M31" s="19">
        <v>0.75</v>
      </c>
      <c r="N31" s="11"/>
      <c r="O31" s="12" t="s">
        <v>331</v>
      </c>
      <c r="P31" s="12" t="s">
        <v>324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x14ac:dyDescent="0.3">
      <c r="A32" s="11"/>
      <c r="B32" s="16" t="s">
        <v>342</v>
      </c>
      <c r="C32" s="11" t="s">
        <v>147</v>
      </c>
      <c r="D32" s="11" t="s">
        <v>147</v>
      </c>
      <c r="E32" s="16" t="s">
        <v>306</v>
      </c>
      <c r="F32" s="16">
        <v>54</v>
      </c>
      <c r="G32" s="16">
        <v>2</v>
      </c>
      <c r="H32" s="16">
        <v>15</v>
      </c>
      <c r="I32" s="16">
        <v>4</v>
      </c>
      <c r="J32" s="16">
        <v>4</v>
      </c>
      <c r="K32" s="16">
        <v>0</v>
      </c>
      <c r="L32" s="17">
        <v>8.2199999999999995E-2</v>
      </c>
      <c r="M32" s="19">
        <v>0.75</v>
      </c>
      <c r="N32" s="11"/>
      <c r="O32" s="12" t="s">
        <v>331</v>
      </c>
      <c r="P32" s="12" t="s">
        <v>324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x14ac:dyDescent="0.3">
      <c r="A33" s="11"/>
      <c r="B33" s="16" t="s">
        <v>342</v>
      </c>
      <c r="C33" s="11" t="s">
        <v>166</v>
      </c>
      <c r="D33" s="11" t="s">
        <v>166</v>
      </c>
      <c r="E33" s="16" t="s">
        <v>306</v>
      </c>
      <c r="F33" s="16">
        <v>84</v>
      </c>
      <c r="G33" s="16">
        <v>13</v>
      </c>
      <c r="H33" s="16">
        <v>20</v>
      </c>
      <c r="I33" s="16">
        <v>6</v>
      </c>
      <c r="J33" s="16">
        <v>60</v>
      </c>
      <c r="K33" s="16">
        <v>6</v>
      </c>
      <c r="L33" s="17">
        <v>0.15240000000000001</v>
      </c>
      <c r="M33" s="18">
        <v>1</v>
      </c>
      <c r="N33" s="11"/>
      <c r="O33" s="12" t="s">
        <v>323</v>
      </c>
      <c r="P33" s="12" t="s">
        <v>324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x14ac:dyDescent="0.3">
      <c r="A34" s="11"/>
      <c r="B34" s="16" t="s">
        <v>342</v>
      </c>
      <c r="C34" s="11" t="s">
        <v>153</v>
      </c>
      <c r="D34" s="11" t="s">
        <v>153</v>
      </c>
      <c r="E34" s="16" t="s">
        <v>306</v>
      </c>
      <c r="F34" s="16">
        <v>2</v>
      </c>
      <c r="G34" s="16">
        <v>0</v>
      </c>
      <c r="H34" s="16">
        <v>4</v>
      </c>
      <c r="I34" s="16">
        <v>0</v>
      </c>
      <c r="J34" s="16">
        <v>2</v>
      </c>
      <c r="K34" s="16">
        <v>0</v>
      </c>
      <c r="L34" s="17">
        <v>0</v>
      </c>
      <c r="M34" s="20">
        <v>0.5</v>
      </c>
      <c r="N34" s="11"/>
      <c r="O34" s="12" t="s">
        <v>333</v>
      </c>
      <c r="P34" s="12" t="s">
        <v>324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x14ac:dyDescent="0.3">
      <c r="A35" s="11"/>
      <c r="B35" s="16" t="s">
        <v>342</v>
      </c>
      <c r="C35" s="11" t="s">
        <v>160</v>
      </c>
      <c r="D35" s="11" t="s">
        <v>160</v>
      </c>
      <c r="E35" s="16" t="s">
        <v>306</v>
      </c>
      <c r="F35" s="16">
        <v>57</v>
      </c>
      <c r="G35" s="16">
        <v>2</v>
      </c>
      <c r="H35" s="16">
        <v>10</v>
      </c>
      <c r="I35" s="16">
        <v>0</v>
      </c>
      <c r="J35" s="16">
        <v>8</v>
      </c>
      <c r="K35" s="16">
        <v>0</v>
      </c>
      <c r="L35" s="17">
        <v>2.6700000000000002E-2</v>
      </c>
      <c r="M35" s="19">
        <v>0.75</v>
      </c>
      <c r="N35" s="11"/>
      <c r="O35" s="12" t="s">
        <v>331</v>
      </c>
      <c r="P35" s="12" t="s">
        <v>324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x14ac:dyDescent="0.3">
      <c r="A36" s="11"/>
      <c r="B36" s="16" t="s">
        <v>342</v>
      </c>
      <c r="C36" s="11" t="s">
        <v>152</v>
      </c>
      <c r="D36" s="11" t="s">
        <v>152</v>
      </c>
      <c r="E36" s="16" t="s">
        <v>306</v>
      </c>
      <c r="F36" s="16">
        <v>19</v>
      </c>
      <c r="G36" s="16">
        <v>0</v>
      </c>
      <c r="H36" s="16">
        <v>4</v>
      </c>
      <c r="I36" s="16">
        <v>0</v>
      </c>
      <c r="J36" s="16">
        <v>6</v>
      </c>
      <c r="K36" s="16">
        <v>0</v>
      </c>
      <c r="L36" s="17">
        <v>0</v>
      </c>
      <c r="M36" s="20">
        <v>0.5</v>
      </c>
      <c r="N36" s="11"/>
      <c r="O36" s="12" t="s">
        <v>333</v>
      </c>
      <c r="P36" s="12" t="s">
        <v>324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x14ac:dyDescent="0.3">
      <c r="A37" s="11"/>
      <c r="B37" s="16" t="s">
        <v>342</v>
      </c>
      <c r="C37" s="11" t="s">
        <v>343</v>
      </c>
      <c r="D37" s="11" t="s">
        <v>167</v>
      </c>
      <c r="E37" s="16" t="s">
        <v>306</v>
      </c>
      <c r="F37" s="16">
        <v>15</v>
      </c>
      <c r="G37" s="16">
        <v>3</v>
      </c>
      <c r="H37" s="16">
        <v>10</v>
      </c>
      <c r="I37" s="16">
        <v>1</v>
      </c>
      <c r="J37" s="16">
        <v>9</v>
      </c>
      <c r="K37" s="16">
        <v>1</v>
      </c>
      <c r="L37" s="17">
        <v>0.14710000000000001</v>
      </c>
      <c r="M37" s="18">
        <v>1</v>
      </c>
      <c r="N37" s="11"/>
      <c r="O37" s="12" t="s">
        <v>323</v>
      </c>
      <c r="P37" s="12" t="s">
        <v>324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x14ac:dyDescent="0.3">
      <c r="A38" s="11"/>
      <c r="B38" s="16" t="s">
        <v>342</v>
      </c>
      <c r="C38" s="11" t="s">
        <v>299</v>
      </c>
      <c r="D38" s="11" t="s">
        <v>299</v>
      </c>
      <c r="E38" s="16" t="s">
        <v>306</v>
      </c>
      <c r="F38" s="16">
        <v>476</v>
      </c>
      <c r="G38" s="16">
        <v>55</v>
      </c>
      <c r="H38" s="16">
        <v>25</v>
      </c>
      <c r="I38" s="16">
        <v>3</v>
      </c>
      <c r="J38" s="16">
        <v>40</v>
      </c>
      <c r="K38" s="16">
        <v>0</v>
      </c>
      <c r="L38" s="17">
        <v>0.1072</v>
      </c>
      <c r="M38" s="18">
        <v>1</v>
      </c>
      <c r="N38" s="11"/>
      <c r="O38" s="12" t="s">
        <v>323</v>
      </c>
      <c r="P38" s="12" t="s">
        <v>324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3">
      <c r="A39" s="11"/>
      <c r="B39" s="16" t="s">
        <v>322</v>
      </c>
      <c r="C39" s="11" t="s">
        <v>241</v>
      </c>
      <c r="D39" s="11" t="s">
        <v>241</v>
      </c>
      <c r="E39" s="16" t="s">
        <v>306</v>
      </c>
      <c r="F39" s="16">
        <v>4</v>
      </c>
      <c r="G39" s="16">
        <v>0</v>
      </c>
      <c r="H39" s="16">
        <v>2</v>
      </c>
      <c r="I39" s="16">
        <v>0</v>
      </c>
      <c r="J39" s="16">
        <v>0</v>
      </c>
      <c r="K39" s="16">
        <v>0</v>
      </c>
      <c r="L39" s="17">
        <v>0</v>
      </c>
      <c r="M39" s="20">
        <v>0.5</v>
      </c>
      <c r="N39" s="11"/>
      <c r="O39" s="12" t="s">
        <v>333</v>
      </c>
      <c r="P39" s="12" t="s">
        <v>324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3">
      <c r="A40" s="11"/>
      <c r="B40" s="16" t="s">
        <v>342</v>
      </c>
      <c r="C40" s="11" t="s">
        <v>344</v>
      </c>
      <c r="D40" s="11" t="s">
        <v>170</v>
      </c>
      <c r="E40" s="16" t="s">
        <v>306</v>
      </c>
      <c r="F40" s="16">
        <v>30</v>
      </c>
      <c r="G40" s="16">
        <v>3</v>
      </c>
      <c r="H40" s="16">
        <v>10</v>
      </c>
      <c r="I40" s="16">
        <v>4</v>
      </c>
      <c r="J40" s="16">
        <v>20</v>
      </c>
      <c r="K40" s="16">
        <v>1</v>
      </c>
      <c r="L40" s="17">
        <v>0.1333</v>
      </c>
      <c r="M40" s="18">
        <v>1</v>
      </c>
      <c r="N40" s="11"/>
      <c r="O40" s="12" t="s">
        <v>323</v>
      </c>
      <c r="P40" s="12" t="s">
        <v>324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x14ac:dyDescent="0.3">
      <c r="A41" s="11"/>
      <c r="B41" s="16" t="s">
        <v>342</v>
      </c>
      <c r="C41" s="11" t="s">
        <v>171</v>
      </c>
      <c r="D41" s="11" t="s">
        <v>171</v>
      </c>
      <c r="E41" s="16" t="s">
        <v>306</v>
      </c>
      <c r="F41" s="16">
        <v>26</v>
      </c>
      <c r="G41" s="16">
        <v>0</v>
      </c>
      <c r="H41" s="16">
        <v>10</v>
      </c>
      <c r="I41" s="16">
        <v>1</v>
      </c>
      <c r="J41" s="16">
        <v>8</v>
      </c>
      <c r="K41" s="16">
        <v>3</v>
      </c>
      <c r="L41" s="17">
        <v>9.0899999999999995E-2</v>
      </c>
      <c r="M41" s="19">
        <v>0.75</v>
      </c>
      <c r="N41" s="11"/>
      <c r="O41" s="12" t="s">
        <v>331</v>
      </c>
      <c r="P41" s="12" t="s">
        <v>324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x14ac:dyDescent="0.3">
      <c r="A42" s="11"/>
      <c r="B42" s="16" t="s">
        <v>342</v>
      </c>
      <c r="C42" s="11" t="s">
        <v>163</v>
      </c>
      <c r="D42" s="11" t="s">
        <v>163</v>
      </c>
      <c r="E42" s="16" t="s">
        <v>306</v>
      </c>
      <c r="F42" s="16">
        <v>23</v>
      </c>
      <c r="G42" s="16">
        <v>0</v>
      </c>
      <c r="H42" s="16">
        <v>10</v>
      </c>
      <c r="I42" s="16">
        <v>0</v>
      </c>
      <c r="J42" s="16">
        <v>0</v>
      </c>
      <c r="K42" s="16">
        <v>0</v>
      </c>
      <c r="L42" s="17">
        <v>0</v>
      </c>
      <c r="M42" s="20">
        <v>0.5</v>
      </c>
      <c r="N42" s="11"/>
      <c r="O42" s="12" t="s">
        <v>333</v>
      </c>
      <c r="P42" s="12" t="s">
        <v>324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x14ac:dyDescent="0.3">
      <c r="A43" s="11"/>
      <c r="B43" s="16" t="s">
        <v>342</v>
      </c>
      <c r="C43" s="11" t="s">
        <v>300</v>
      </c>
      <c r="D43" s="11" t="s">
        <v>300</v>
      </c>
      <c r="E43" s="16" t="s">
        <v>306</v>
      </c>
      <c r="F43" s="16">
        <v>354</v>
      </c>
      <c r="G43" s="16">
        <v>164</v>
      </c>
      <c r="H43" s="23">
        <v>414</v>
      </c>
      <c r="I43" s="23">
        <v>269</v>
      </c>
      <c r="J43" s="16">
        <v>137</v>
      </c>
      <c r="K43" s="16">
        <v>13</v>
      </c>
      <c r="L43" s="17">
        <v>0.49280000000000002</v>
      </c>
      <c r="M43" s="14">
        <v>2</v>
      </c>
      <c r="N43" s="11"/>
      <c r="O43" s="12" t="s">
        <v>329</v>
      </c>
      <c r="P43" s="12" t="s">
        <v>324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3">
      <c r="A44" s="11"/>
      <c r="B44" s="16" t="s">
        <v>342</v>
      </c>
      <c r="C44" s="11" t="s">
        <v>345</v>
      </c>
      <c r="D44" s="11" t="s">
        <v>633</v>
      </c>
      <c r="E44" s="16" t="s">
        <v>306</v>
      </c>
      <c r="F44" s="16">
        <v>5</v>
      </c>
      <c r="G44" s="16">
        <v>2</v>
      </c>
      <c r="H44" s="16">
        <v>8</v>
      </c>
      <c r="I44" s="16">
        <v>0</v>
      </c>
      <c r="J44" s="16">
        <v>10</v>
      </c>
      <c r="K44" s="16">
        <v>0</v>
      </c>
      <c r="L44" s="17">
        <v>8.6999999999999994E-2</v>
      </c>
      <c r="M44" s="19">
        <v>0.75</v>
      </c>
      <c r="N44" s="11"/>
      <c r="O44" s="12" t="s">
        <v>331</v>
      </c>
      <c r="P44" s="12" t="s">
        <v>324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x14ac:dyDescent="0.3">
      <c r="A45" s="11"/>
      <c r="B45" s="16" t="s">
        <v>342</v>
      </c>
      <c r="C45" s="11" t="s">
        <v>291</v>
      </c>
      <c r="D45" s="11" t="s">
        <v>291</v>
      </c>
      <c r="E45" s="16" t="s">
        <v>306</v>
      </c>
      <c r="F45" s="16">
        <v>6</v>
      </c>
      <c r="G45" s="16">
        <v>1</v>
      </c>
      <c r="H45" s="16">
        <v>0</v>
      </c>
      <c r="I45" s="16">
        <v>0</v>
      </c>
      <c r="J45" s="16">
        <v>5</v>
      </c>
      <c r="K45" s="16">
        <v>0</v>
      </c>
      <c r="L45" s="17">
        <v>9.0899999999999995E-2</v>
      </c>
      <c r="M45" s="19">
        <v>0.75</v>
      </c>
      <c r="N45" s="11"/>
      <c r="O45" s="12" t="s">
        <v>331</v>
      </c>
      <c r="P45" s="12" t="s">
        <v>324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x14ac:dyDescent="0.3">
      <c r="A46" s="11"/>
      <c r="B46" s="16" t="s">
        <v>342</v>
      </c>
      <c r="C46" s="11" t="s">
        <v>168</v>
      </c>
      <c r="D46" s="11" t="s">
        <v>168</v>
      </c>
      <c r="E46" s="16" t="s">
        <v>306</v>
      </c>
      <c r="F46" s="16">
        <v>6</v>
      </c>
      <c r="G46" s="16">
        <v>0</v>
      </c>
      <c r="H46" s="16">
        <v>4</v>
      </c>
      <c r="I46" s="16">
        <v>0</v>
      </c>
      <c r="J46" s="16">
        <v>4</v>
      </c>
      <c r="K46" s="16">
        <v>0</v>
      </c>
      <c r="L46" s="17">
        <v>0</v>
      </c>
      <c r="M46" s="20">
        <v>0.5</v>
      </c>
      <c r="N46" s="11"/>
      <c r="O46" s="12" t="s">
        <v>333</v>
      </c>
      <c r="P46" s="12" t="s">
        <v>324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x14ac:dyDescent="0.3">
      <c r="A47" s="11"/>
      <c r="B47" s="11"/>
      <c r="C47" s="11" t="s">
        <v>284</v>
      </c>
      <c r="D47" s="11" t="s">
        <v>284</v>
      </c>
      <c r="E47" s="16" t="s">
        <v>306</v>
      </c>
      <c r="F47" s="16">
        <v>0</v>
      </c>
      <c r="G47" s="16">
        <v>0</v>
      </c>
      <c r="H47" s="16">
        <v>3</v>
      </c>
      <c r="I47" s="16">
        <v>0</v>
      </c>
      <c r="J47" s="16">
        <v>3</v>
      </c>
      <c r="K47" s="16">
        <v>0</v>
      </c>
      <c r="L47" s="17">
        <v>0</v>
      </c>
      <c r="M47" s="20">
        <v>0.5</v>
      </c>
      <c r="N47" s="11"/>
      <c r="O47" s="12" t="s">
        <v>333</v>
      </c>
      <c r="P47" s="12" t="s">
        <v>324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3">
      <c r="A48" s="11"/>
      <c r="B48" s="16" t="s">
        <v>342</v>
      </c>
      <c r="C48" s="11" t="s">
        <v>268</v>
      </c>
      <c r="D48" s="11" t="s">
        <v>268</v>
      </c>
      <c r="E48" s="16" t="s">
        <v>306</v>
      </c>
      <c r="F48" s="16">
        <v>7</v>
      </c>
      <c r="G48" s="16">
        <v>0</v>
      </c>
      <c r="H48" s="16">
        <v>3</v>
      </c>
      <c r="I48" s="16">
        <v>0</v>
      </c>
      <c r="J48" s="16">
        <v>6</v>
      </c>
      <c r="K48" s="16">
        <v>0</v>
      </c>
      <c r="L48" s="17">
        <v>0</v>
      </c>
      <c r="M48" s="20">
        <v>0.5</v>
      </c>
      <c r="N48" s="11"/>
      <c r="O48" s="12" t="s">
        <v>333</v>
      </c>
      <c r="P48" s="12" t="s">
        <v>324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x14ac:dyDescent="0.3">
      <c r="A49" s="11"/>
      <c r="B49" s="16" t="s">
        <v>342</v>
      </c>
      <c r="C49" s="11" t="s">
        <v>149</v>
      </c>
      <c r="D49" s="11" t="s">
        <v>149</v>
      </c>
      <c r="E49" s="16" t="s">
        <v>306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7">
        <v>0</v>
      </c>
      <c r="M49" s="20">
        <v>0.5</v>
      </c>
      <c r="N49" s="11"/>
      <c r="O49" s="12" t="s">
        <v>333</v>
      </c>
      <c r="P49" s="12" t="s">
        <v>324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x14ac:dyDescent="0.3">
      <c r="A50" s="11"/>
      <c r="B50" s="16" t="s">
        <v>342</v>
      </c>
      <c r="C50" s="11" t="s">
        <v>165</v>
      </c>
      <c r="D50" s="11" t="s">
        <v>165</v>
      </c>
      <c r="E50" s="16" t="s">
        <v>306</v>
      </c>
      <c r="F50" s="16">
        <v>40</v>
      </c>
      <c r="G50" s="16">
        <v>3</v>
      </c>
      <c r="H50" s="16">
        <v>10</v>
      </c>
      <c r="I50" s="16">
        <v>0</v>
      </c>
      <c r="J50" s="16">
        <v>21</v>
      </c>
      <c r="K50" s="16">
        <v>3</v>
      </c>
      <c r="L50" s="17">
        <v>8.4500000000000006E-2</v>
      </c>
      <c r="M50" s="19">
        <v>0.75</v>
      </c>
      <c r="N50" s="11"/>
      <c r="O50" s="12" t="s">
        <v>331</v>
      </c>
      <c r="P50" s="12" t="s">
        <v>324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x14ac:dyDescent="0.3">
      <c r="A51" s="11"/>
      <c r="B51" s="16" t="s">
        <v>342</v>
      </c>
      <c r="C51" s="11" t="s">
        <v>150</v>
      </c>
      <c r="D51" s="11" t="s">
        <v>150</v>
      </c>
      <c r="E51" s="16" t="s">
        <v>306</v>
      </c>
      <c r="F51" s="16">
        <v>15</v>
      </c>
      <c r="G51" s="16">
        <v>4</v>
      </c>
      <c r="H51" s="16">
        <v>8</v>
      </c>
      <c r="I51" s="16">
        <v>1</v>
      </c>
      <c r="J51" s="16">
        <v>12</v>
      </c>
      <c r="K51" s="16">
        <v>2</v>
      </c>
      <c r="L51" s="17">
        <v>0.2</v>
      </c>
      <c r="M51" s="18">
        <v>1</v>
      </c>
      <c r="N51" s="11"/>
      <c r="O51" s="12" t="s">
        <v>323</v>
      </c>
      <c r="P51" s="12" t="s">
        <v>324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3">
      <c r="A52" s="11"/>
      <c r="B52" s="16" t="s">
        <v>342</v>
      </c>
      <c r="C52" s="24" t="s">
        <v>164</v>
      </c>
      <c r="D52" s="11" t="s">
        <v>164</v>
      </c>
      <c r="E52" s="16" t="s">
        <v>306</v>
      </c>
      <c r="F52" s="16">
        <v>3</v>
      </c>
      <c r="G52" s="16">
        <v>0</v>
      </c>
      <c r="H52" s="16">
        <v>6</v>
      </c>
      <c r="I52" s="16">
        <v>2</v>
      </c>
      <c r="J52" s="16">
        <v>4</v>
      </c>
      <c r="K52" s="16">
        <v>0</v>
      </c>
      <c r="L52" s="17">
        <v>0.15379999999999999</v>
      </c>
      <c r="M52" s="18">
        <v>1</v>
      </c>
      <c r="N52" s="11"/>
      <c r="O52" s="12" t="s">
        <v>323</v>
      </c>
      <c r="P52" s="12" t="s">
        <v>324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3">
      <c r="A53" s="11"/>
      <c r="B53" s="16" t="s">
        <v>342</v>
      </c>
      <c r="C53" s="11" t="s">
        <v>151</v>
      </c>
      <c r="D53" s="11" t="s">
        <v>151</v>
      </c>
      <c r="E53" s="16" t="s">
        <v>306</v>
      </c>
      <c r="F53" s="16">
        <v>28</v>
      </c>
      <c r="G53" s="16">
        <v>2</v>
      </c>
      <c r="H53" s="16">
        <v>8</v>
      </c>
      <c r="I53" s="16">
        <v>2</v>
      </c>
      <c r="J53" s="16">
        <v>13</v>
      </c>
      <c r="K53" s="16">
        <v>2</v>
      </c>
      <c r="L53" s="17">
        <v>0.12239999999999999</v>
      </c>
      <c r="M53" s="18">
        <v>1</v>
      </c>
      <c r="N53" s="11"/>
      <c r="O53" s="12" t="s">
        <v>323</v>
      </c>
      <c r="P53" s="12" t="s">
        <v>324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x14ac:dyDescent="0.3">
      <c r="A54" s="11"/>
      <c r="B54" s="16" t="s">
        <v>342</v>
      </c>
      <c r="C54" s="11" t="s">
        <v>289</v>
      </c>
      <c r="D54" s="11" t="s">
        <v>289</v>
      </c>
      <c r="E54" s="16" t="s">
        <v>306</v>
      </c>
      <c r="F54" s="16">
        <v>4</v>
      </c>
      <c r="G54" s="16">
        <v>0</v>
      </c>
      <c r="H54" s="16">
        <v>3</v>
      </c>
      <c r="I54" s="16">
        <v>1</v>
      </c>
      <c r="J54" s="16">
        <v>4</v>
      </c>
      <c r="K54" s="16">
        <v>0</v>
      </c>
      <c r="L54" s="17">
        <v>9.0899999999999995E-2</v>
      </c>
      <c r="M54" s="19">
        <v>0.75</v>
      </c>
      <c r="N54" s="11"/>
      <c r="O54" s="12" t="s">
        <v>331</v>
      </c>
      <c r="P54" s="12" t="s">
        <v>324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x14ac:dyDescent="0.3">
      <c r="A55" s="11"/>
      <c r="B55" s="16" t="s">
        <v>342</v>
      </c>
      <c r="C55" s="11" t="s">
        <v>346</v>
      </c>
      <c r="D55" s="11" t="s">
        <v>346</v>
      </c>
      <c r="E55" s="16" t="s">
        <v>306</v>
      </c>
      <c r="F55" s="16">
        <v>5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7">
        <v>0</v>
      </c>
      <c r="M55" s="20">
        <v>0.5</v>
      </c>
      <c r="N55" s="11"/>
      <c r="O55" s="12" t="s">
        <v>333</v>
      </c>
      <c r="P55" s="12" t="s">
        <v>324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x14ac:dyDescent="0.3">
      <c r="A56" s="25"/>
      <c r="B56" s="26" t="s">
        <v>342</v>
      </c>
      <c r="C56" s="25" t="s">
        <v>269</v>
      </c>
      <c r="D56" s="11" t="s">
        <v>269</v>
      </c>
      <c r="E56" s="16" t="s">
        <v>306</v>
      </c>
      <c r="F56" s="26">
        <v>5</v>
      </c>
      <c r="G56" s="16">
        <v>0</v>
      </c>
      <c r="H56" s="16">
        <v>2</v>
      </c>
      <c r="I56" s="16">
        <v>0</v>
      </c>
      <c r="J56" s="16">
        <v>1</v>
      </c>
      <c r="K56" s="16">
        <v>0</v>
      </c>
      <c r="L56" s="17">
        <v>0</v>
      </c>
      <c r="M56" s="20">
        <v>0.5</v>
      </c>
      <c r="N56" s="11"/>
      <c r="O56" s="12" t="s">
        <v>333</v>
      </c>
      <c r="P56" s="12" t="s">
        <v>324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3">
      <c r="A57" s="11"/>
      <c r="B57" s="16" t="s">
        <v>342</v>
      </c>
      <c r="C57" s="11" t="s">
        <v>406</v>
      </c>
      <c r="D57" s="11" t="s">
        <v>406</v>
      </c>
      <c r="E57" s="16" t="s">
        <v>306</v>
      </c>
      <c r="F57" s="16">
        <v>93</v>
      </c>
      <c r="G57" s="16">
        <v>17</v>
      </c>
      <c r="H57" s="16">
        <v>15</v>
      </c>
      <c r="I57" s="16">
        <v>3</v>
      </c>
      <c r="J57" s="16">
        <v>57</v>
      </c>
      <c r="K57" s="16">
        <v>2</v>
      </c>
      <c r="L57" s="17">
        <v>0.1333</v>
      </c>
      <c r="M57" s="18">
        <v>1</v>
      </c>
      <c r="N57" s="11"/>
      <c r="O57" s="12" t="s">
        <v>323</v>
      </c>
      <c r="P57" s="12" t="s">
        <v>324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3">
      <c r="A58" s="11"/>
      <c r="B58" s="16" t="s">
        <v>342</v>
      </c>
      <c r="C58" s="11" t="s">
        <v>155</v>
      </c>
      <c r="D58" s="11" t="s">
        <v>155</v>
      </c>
      <c r="E58" s="16" t="s">
        <v>306</v>
      </c>
      <c r="F58" s="16">
        <v>16</v>
      </c>
      <c r="G58" s="16">
        <v>7</v>
      </c>
      <c r="H58" s="16">
        <v>15</v>
      </c>
      <c r="I58" s="16">
        <v>2</v>
      </c>
      <c r="J58" s="16">
        <v>0</v>
      </c>
      <c r="K58" s="16">
        <v>0</v>
      </c>
      <c r="L58" s="17">
        <v>0.2903</v>
      </c>
      <c r="M58" s="18">
        <v>1</v>
      </c>
      <c r="N58" s="11"/>
      <c r="O58" s="12" t="s">
        <v>323</v>
      </c>
      <c r="P58" s="12" t="s">
        <v>324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x14ac:dyDescent="0.3">
      <c r="A59" s="11"/>
      <c r="B59" s="16" t="s">
        <v>342</v>
      </c>
      <c r="C59" s="11" t="s">
        <v>156</v>
      </c>
      <c r="D59" s="11" t="s">
        <v>156</v>
      </c>
      <c r="E59" s="16" t="s">
        <v>306</v>
      </c>
      <c r="F59" s="16">
        <v>3</v>
      </c>
      <c r="G59" s="16">
        <v>0</v>
      </c>
      <c r="H59" s="16">
        <v>4</v>
      </c>
      <c r="I59" s="16">
        <v>1</v>
      </c>
      <c r="J59" s="16">
        <v>1</v>
      </c>
      <c r="K59" s="16">
        <v>0</v>
      </c>
      <c r="L59" s="17">
        <v>0.125</v>
      </c>
      <c r="M59" s="18">
        <v>1</v>
      </c>
      <c r="N59" s="11"/>
      <c r="O59" s="12" t="s">
        <v>323</v>
      </c>
      <c r="P59" s="12" t="s">
        <v>324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x14ac:dyDescent="0.3">
      <c r="A60" s="11"/>
      <c r="B60" s="16" t="s">
        <v>342</v>
      </c>
      <c r="C60" s="11" t="s">
        <v>157</v>
      </c>
      <c r="D60" s="11" t="s">
        <v>157</v>
      </c>
      <c r="E60" s="16" t="s">
        <v>306</v>
      </c>
      <c r="F60" s="16">
        <v>78</v>
      </c>
      <c r="G60" s="16">
        <v>17</v>
      </c>
      <c r="H60" s="16">
        <v>20</v>
      </c>
      <c r="I60" s="16">
        <v>3</v>
      </c>
      <c r="J60" s="16">
        <v>15</v>
      </c>
      <c r="K60" s="16">
        <v>0</v>
      </c>
      <c r="L60" s="17">
        <v>0.17699999999999999</v>
      </c>
      <c r="M60" s="18">
        <v>1</v>
      </c>
      <c r="N60" s="11"/>
      <c r="O60" s="12" t="s">
        <v>323</v>
      </c>
      <c r="P60" s="12" t="s">
        <v>324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x14ac:dyDescent="0.3">
      <c r="A61" s="11"/>
      <c r="B61" s="16" t="s">
        <v>342</v>
      </c>
      <c r="C61" s="11" t="s">
        <v>158</v>
      </c>
      <c r="D61" s="11" t="s">
        <v>158</v>
      </c>
      <c r="E61" s="16" t="s">
        <v>306</v>
      </c>
      <c r="F61" s="16">
        <v>31</v>
      </c>
      <c r="G61" s="16">
        <v>10</v>
      </c>
      <c r="H61" s="16">
        <v>26</v>
      </c>
      <c r="I61" s="16">
        <v>6</v>
      </c>
      <c r="J61" s="16">
        <v>28</v>
      </c>
      <c r="K61" s="16">
        <v>3</v>
      </c>
      <c r="L61" s="17">
        <v>0.2235</v>
      </c>
      <c r="M61" s="18">
        <v>1</v>
      </c>
      <c r="N61" s="11"/>
      <c r="O61" s="12" t="s">
        <v>323</v>
      </c>
      <c r="P61" s="12" t="s">
        <v>324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3">
      <c r="A62" s="11"/>
      <c r="B62" s="16" t="s">
        <v>342</v>
      </c>
      <c r="C62" s="11" t="s">
        <v>159</v>
      </c>
      <c r="D62" s="11" t="s">
        <v>159</v>
      </c>
      <c r="E62" s="16" t="s">
        <v>306</v>
      </c>
      <c r="F62" s="16">
        <v>6</v>
      </c>
      <c r="G62" s="16">
        <v>3</v>
      </c>
      <c r="H62" s="16">
        <v>4</v>
      </c>
      <c r="I62" s="16">
        <v>1</v>
      </c>
      <c r="J62" s="16">
        <v>5</v>
      </c>
      <c r="K62" s="16">
        <v>1</v>
      </c>
      <c r="L62" s="17">
        <v>0.33329999999999999</v>
      </c>
      <c r="M62" s="18">
        <v>1</v>
      </c>
      <c r="N62" s="11"/>
      <c r="O62" s="12" t="s">
        <v>323</v>
      </c>
      <c r="P62" s="12" t="s">
        <v>324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x14ac:dyDescent="0.3">
      <c r="A63" s="11"/>
      <c r="B63" s="16" t="s">
        <v>342</v>
      </c>
      <c r="C63" s="11" t="s">
        <v>347</v>
      </c>
      <c r="D63" s="11" t="s">
        <v>347</v>
      </c>
      <c r="E63" s="16" t="s">
        <v>306</v>
      </c>
      <c r="F63" s="16">
        <v>29</v>
      </c>
      <c r="G63" s="16">
        <v>5</v>
      </c>
      <c r="H63" s="16">
        <v>10</v>
      </c>
      <c r="I63" s="16">
        <v>3</v>
      </c>
      <c r="J63" s="16">
        <v>12</v>
      </c>
      <c r="K63" s="16">
        <v>0</v>
      </c>
      <c r="L63" s="17">
        <v>0.15690000000000001</v>
      </c>
      <c r="M63" s="18">
        <v>1</v>
      </c>
      <c r="N63" s="11"/>
      <c r="O63" s="12" t="s">
        <v>323</v>
      </c>
      <c r="P63" s="12" t="s">
        <v>324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x14ac:dyDescent="0.3">
      <c r="A64" s="11"/>
      <c r="B64" s="16" t="s">
        <v>342</v>
      </c>
      <c r="C64" s="11" t="s">
        <v>161</v>
      </c>
      <c r="D64" s="11" t="s">
        <v>161</v>
      </c>
      <c r="E64" s="16" t="s">
        <v>306</v>
      </c>
      <c r="F64" s="16">
        <v>8</v>
      </c>
      <c r="G64" s="16">
        <v>2</v>
      </c>
      <c r="H64" s="16">
        <v>4</v>
      </c>
      <c r="I64" s="16">
        <v>1</v>
      </c>
      <c r="J64" s="16">
        <v>3</v>
      </c>
      <c r="K64" s="16">
        <v>0</v>
      </c>
      <c r="L64" s="17">
        <v>0.2</v>
      </c>
      <c r="M64" s="18">
        <v>1</v>
      </c>
      <c r="N64" s="11"/>
      <c r="O64" s="12" t="s">
        <v>323</v>
      </c>
      <c r="P64" s="12" t="s">
        <v>324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x14ac:dyDescent="0.3">
      <c r="A65" s="11"/>
      <c r="B65" s="16" t="s">
        <v>342</v>
      </c>
      <c r="C65" s="11" t="s">
        <v>162</v>
      </c>
      <c r="D65" s="11" t="s">
        <v>162</v>
      </c>
      <c r="E65" s="16" t="s">
        <v>306</v>
      </c>
      <c r="F65" s="16">
        <v>17</v>
      </c>
      <c r="G65" s="16">
        <v>2</v>
      </c>
      <c r="H65" s="16">
        <v>0</v>
      </c>
      <c r="I65" s="16">
        <v>0</v>
      </c>
      <c r="J65" s="16">
        <v>5</v>
      </c>
      <c r="K65" s="16">
        <v>1</v>
      </c>
      <c r="L65" s="17">
        <v>0.13639999999999999</v>
      </c>
      <c r="M65" s="18">
        <v>1</v>
      </c>
      <c r="N65" s="11"/>
      <c r="O65" s="12" t="s">
        <v>323</v>
      </c>
      <c r="P65" s="12" t="s">
        <v>324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x14ac:dyDescent="0.3">
      <c r="A66" s="11"/>
      <c r="B66" s="16" t="s">
        <v>322</v>
      </c>
      <c r="C66" s="11" t="s">
        <v>294</v>
      </c>
      <c r="D66" s="11" t="s">
        <v>294</v>
      </c>
      <c r="E66" s="16" t="s">
        <v>306</v>
      </c>
      <c r="F66" s="16">
        <v>496</v>
      </c>
      <c r="G66" s="16">
        <v>40</v>
      </c>
      <c r="H66" s="16">
        <v>113</v>
      </c>
      <c r="I66" s="16">
        <v>3</v>
      </c>
      <c r="J66" s="16">
        <v>5</v>
      </c>
      <c r="K66" s="16">
        <v>1</v>
      </c>
      <c r="L66" s="17">
        <v>7.17E-2</v>
      </c>
      <c r="M66" s="19">
        <v>0.75</v>
      </c>
      <c r="N66" s="11"/>
      <c r="O66" s="12" t="s">
        <v>331</v>
      </c>
      <c r="P66" s="12" t="s">
        <v>324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x14ac:dyDescent="0.3">
      <c r="A67" s="11"/>
      <c r="B67" s="16" t="s">
        <v>322</v>
      </c>
      <c r="C67" s="11" t="s">
        <v>232</v>
      </c>
      <c r="D67" s="11" t="s">
        <v>232</v>
      </c>
      <c r="E67" s="16" t="s">
        <v>306</v>
      </c>
      <c r="F67" s="16">
        <v>4</v>
      </c>
      <c r="G67" s="16">
        <v>0</v>
      </c>
      <c r="H67" s="16">
        <v>7</v>
      </c>
      <c r="I67" s="16">
        <v>1</v>
      </c>
      <c r="J67" s="16">
        <v>14</v>
      </c>
      <c r="K67" s="16">
        <v>0</v>
      </c>
      <c r="L67" s="17">
        <v>0.04</v>
      </c>
      <c r="M67" s="19">
        <v>0.75</v>
      </c>
      <c r="N67" s="11"/>
      <c r="O67" s="12" t="s">
        <v>331</v>
      </c>
      <c r="P67" s="12" t="s">
        <v>324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x14ac:dyDescent="0.3">
      <c r="A68" s="11"/>
      <c r="B68" s="16" t="s">
        <v>322</v>
      </c>
      <c r="C68" s="11" t="s">
        <v>270</v>
      </c>
      <c r="D68" s="11" t="s">
        <v>270</v>
      </c>
      <c r="E68" s="16" t="s">
        <v>306</v>
      </c>
      <c r="F68" s="16">
        <v>1</v>
      </c>
      <c r="G68" s="16">
        <v>0</v>
      </c>
      <c r="H68" s="16">
        <v>1</v>
      </c>
      <c r="I68" s="16">
        <v>0</v>
      </c>
      <c r="J68" s="16">
        <v>0</v>
      </c>
      <c r="K68" s="16">
        <v>0</v>
      </c>
      <c r="L68" s="17">
        <v>0</v>
      </c>
      <c r="M68" s="20">
        <v>0.5</v>
      </c>
      <c r="N68" s="11"/>
      <c r="O68" s="12" t="s">
        <v>333</v>
      </c>
      <c r="P68" s="12" t="s">
        <v>324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x14ac:dyDescent="0.3">
      <c r="A69" s="11"/>
      <c r="B69" s="16" t="s">
        <v>322</v>
      </c>
      <c r="C69" s="11" t="s">
        <v>233</v>
      </c>
      <c r="D69" s="11" t="s">
        <v>233</v>
      </c>
      <c r="E69" s="16" t="s">
        <v>306</v>
      </c>
      <c r="F69" s="16">
        <v>9</v>
      </c>
      <c r="G69" s="16">
        <v>1</v>
      </c>
      <c r="H69" s="16">
        <v>8</v>
      </c>
      <c r="I69" s="16">
        <v>0</v>
      </c>
      <c r="J69" s="16">
        <v>9</v>
      </c>
      <c r="K69" s="16">
        <v>2</v>
      </c>
      <c r="L69" s="17">
        <v>0.1154</v>
      </c>
      <c r="M69" s="18">
        <v>1</v>
      </c>
      <c r="N69" s="11"/>
      <c r="O69" s="12" t="s">
        <v>323</v>
      </c>
      <c r="P69" s="12" t="s">
        <v>324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3">
      <c r="A70" s="11"/>
      <c r="B70" s="16" t="s">
        <v>322</v>
      </c>
      <c r="C70" s="11" t="s">
        <v>234</v>
      </c>
      <c r="D70" s="11" t="s">
        <v>234</v>
      </c>
      <c r="E70" s="16" t="s">
        <v>306</v>
      </c>
      <c r="F70" s="16">
        <v>10</v>
      </c>
      <c r="G70" s="16">
        <v>0</v>
      </c>
      <c r="H70" s="16">
        <v>6</v>
      </c>
      <c r="I70" s="16">
        <v>2</v>
      </c>
      <c r="J70" s="16">
        <v>3</v>
      </c>
      <c r="K70" s="16">
        <v>0</v>
      </c>
      <c r="L70" s="17">
        <v>0.1053</v>
      </c>
      <c r="M70" s="18">
        <v>1</v>
      </c>
      <c r="N70" s="11"/>
      <c r="O70" s="12" t="s">
        <v>323</v>
      </c>
      <c r="P70" s="12" t="s">
        <v>324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3">
      <c r="A71" s="11"/>
      <c r="B71" s="16" t="s">
        <v>322</v>
      </c>
      <c r="C71" s="11" t="s">
        <v>280</v>
      </c>
      <c r="D71" s="11" t="s">
        <v>280</v>
      </c>
      <c r="E71" s="16" t="s">
        <v>306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7">
        <v>0</v>
      </c>
      <c r="M71" s="20">
        <v>0.5</v>
      </c>
      <c r="N71" s="11"/>
      <c r="O71" s="12" t="s">
        <v>333</v>
      </c>
      <c r="P71" s="12" t="s">
        <v>324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x14ac:dyDescent="0.3">
      <c r="A72" s="11"/>
      <c r="B72" s="16" t="s">
        <v>322</v>
      </c>
      <c r="C72" s="11" t="s">
        <v>295</v>
      </c>
      <c r="D72" s="11" t="s">
        <v>295</v>
      </c>
      <c r="E72" s="16" t="s">
        <v>306</v>
      </c>
      <c r="F72" s="16">
        <v>314</v>
      </c>
      <c r="G72" s="16">
        <v>48</v>
      </c>
      <c r="H72" s="16">
        <v>30</v>
      </c>
      <c r="I72" s="16">
        <v>6</v>
      </c>
      <c r="J72" s="16">
        <v>13</v>
      </c>
      <c r="K72" s="16">
        <v>1</v>
      </c>
      <c r="L72" s="17">
        <v>0.15409999999999999</v>
      </c>
      <c r="M72" s="18">
        <v>1</v>
      </c>
      <c r="N72" s="11"/>
      <c r="O72" s="12" t="s">
        <v>323</v>
      </c>
      <c r="P72" s="12" t="s">
        <v>324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x14ac:dyDescent="0.3">
      <c r="A73" s="11"/>
      <c r="B73" s="16" t="s">
        <v>322</v>
      </c>
      <c r="C73" s="11" t="s">
        <v>237</v>
      </c>
      <c r="D73" s="11" t="s">
        <v>237</v>
      </c>
      <c r="E73" s="16" t="s">
        <v>306</v>
      </c>
      <c r="F73" s="16">
        <v>3</v>
      </c>
      <c r="G73" s="16">
        <v>1</v>
      </c>
      <c r="H73" s="16">
        <v>6</v>
      </c>
      <c r="I73" s="16">
        <v>1</v>
      </c>
      <c r="J73" s="16">
        <v>4</v>
      </c>
      <c r="K73" s="16">
        <v>1</v>
      </c>
      <c r="L73" s="17">
        <v>0.23080000000000001</v>
      </c>
      <c r="M73" s="18">
        <v>1</v>
      </c>
      <c r="N73" s="11"/>
      <c r="O73" s="12" t="s">
        <v>323</v>
      </c>
      <c r="P73" s="12" t="s">
        <v>324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x14ac:dyDescent="0.3">
      <c r="A74" s="11"/>
      <c r="B74" s="11"/>
      <c r="C74" s="11" t="s">
        <v>283</v>
      </c>
      <c r="D74" s="11" t="s">
        <v>283</v>
      </c>
      <c r="E74" s="16" t="s">
        <v>306</v>
      </c>
      <c r="F74" s="16">
        <v>0</v>
      </c>
      <c r="G74" s="16">
        <v>0</v>
      </c>
      <c r="H74" s="16">
        <v>10</v>
      </c>
      <c r="I74" s="16">
        <v>0</v>
      </c>
      <c r="J74" s="16">
        <v>0</v>
      </c>
      <c r="K74" s="16">
        <v>0</v>
      </c>
      <c r="L74" s="17">
        <v>0</v>
      </c>
      <c r="M74" s="20">
        <v>0.5</v>
      </c>
      <c r="N74" s="11"/>
      <c r="O74" s="12" t="s">
        <v>333</v>
      </c>
      <c r="P74" s="12" t="s">
        <v>324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3">
      <c r="A75" s="11"/>
      <c r="B75" s="11"/>
      <c r="C75" s="11" t="s">
        <v>353</v>
      </c>
      <c r="D75" s="11" t="s">
        <v>353</v>
      </c>
      <c r="E75" s="16" t="s">
        <v>307</v>
      </c>
      <c r="F75" s="16">
        <v>0</v>
      </c>
      <c r="G75" s="16">
        <v>0</v>
      </c>
      <c r="H75" s="16">
        <v>1</v>
      </c>
      <c r="I75" s="16">
        <v>0</v>
      </c>
      <c r="J75" s="16">
        <v>0</v>
      </c>
      <c r="K75" s="16">
        <v>0</v>
      </c>
      <c r="L75" s="17">
        <v>0</v>
      </c>
      <c r="M75" s="11"/>
      <c r="N75" s="20">
        <v>0.5</v>
      </c>
      <c r="O75" s="12" t="s">
        <v>333</v>
      </c>
      <c r="P75" s="12" t="s">
        <v>324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x14ac:dyDescent="0.3">
      <c r="A76" s="11"/>
      <c r="B76" s="16" t="s">
        <v>348</v>
      </c>
      <c r="C76" s="11" t="s">
        <v>124</v>
      </c>
      <c r="D76" s="11" t="s">
        <v>124</v>
      </c>
      <c r="E76" s="16" t="s">
        <v>307</v>
      </c>
      <c r="F76" s="16">
        <v>4</v>
      </c>
      <c r="G76" s="16">
        <v>0</v>
      </c>
      <c r="H76" s="16">
        <v>0</v>
      </c>
      <c r="I76" s="16">
        <v>0</v>
      </c>
      <c r="J76" s="16">
        <v>2</v>
      </c>
      <c r="K76" s="16">
        <v>0</v>
      </c>
      <c r="L76" s="17">
        <v>0</v>
      </c>
      <c r="M76" s="11"/>
      <c r="N76" s="20">
        <v>0.5</v>
      </c>
      <c r="O76" s="12" t="s">
        <v>333</v>
      </c>
      <c r="P76" s="12" t="s">
        <v>324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x14ac:dyDescent="0.3">
      <c r="A77" s="11"/>
      <c r="B77" s="16" t="s">
        <v>348</v>
      </c>
      <c r="C77" s="11" t="s">
        <v>83</v>
      </c>
      <c r="D77" s="11" t="s">
        <v>83</v>
      </c>
      <c r="E77" s="16" t="s">
        <v>307</v>
      </c>
      <c r="F77" s="16">
        <v>8</v>
      </c>
      <c r="G77" s="16">
        <v>0</v>
      </c>
      <c r="H77" s="16">
        <v>3</v>
      </c>
      <c r="I77" s="16">
        <v>1</v>
      </c>
      <c r="J77" s="16">
        <v>2</v>
      </c>
      <c r="K77" s="16">
        <v>1</v>
      </c>
      <c r="L77" s="17">
        <v>0.15379999999999999</v>
      </c>
      <c r="M77" s="11"/>
      <c r="N77" s="18">
        <v>1.5</v>
      </c>
      <c r="O77" s="12" t="s">
        <v>323</v>
      </c>
      <c r="P77" s="12" t="s">
        <v>324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x14ac:dyDescent="0.3">
      <c r="A78" s="11"/>
      <c r="B78" s="16" t="s">
        <v>348</v>
      </c>
      <c r="C78" s="11" t="s">
        <v>65</v>
      </c>
      <c r="D78" s="11" t="s">
        <v>65</v>
      </c>
      <c r="E78" s="16" t="s">
        <v>307</v>
      </c>
      <c r="F78" s="16">
        <v>3</v>
      </c>
      <c r="G78" s="16">
        <v>0</v>
      </c>
      <c r="H78" s="16">
        <v>3</v>
      </c>
      <c r="I78" s="16">
        <v>0</v>
      </c>
      <c r="J78" s="16">
        <v>6</v>
      </c>
      <c r="K78" s="16">
        <v>0</v>
      </c>
      <c r="L78" s="17">
        <v>0</v>
      </c>
      <c r="M78" s="11"/>
      <c r="N78" s="20">
        <v>0.5</v>
      </c>
      <c r="O78" s="12" t="s">
        <v>333</v>
      </c>
      <c r="P78" s="12" t="s">
        <v>324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3">
      <c r="A79" s="11"/>
      <c r="B79" s="16" t="s">
        <v>348</v>
      </c>
      <c r="C79" s="11" t="s">
        <v>7</v>
      </c>
      <c r="D79" s="11" t="s">
        <v>7</v>
      </c>
      <c r="E79" s="16" t="s">
        <v>307</v>
      </c>
      <c r="F79" s="16">
        <v>1</v>
      </c>
      <c r="G79" s="16">
        <v>0</v>
      </c>
      <c r="H79" s="16">
        <v>3</v>
      </c>
      <c r="I79" s="16">
        <v>0</v>
      </c>
      <c r="J79" s="16">
        <v>5</v>
      </c>
      <c r="K79" s="16">
        <v>1</v>
      </c>
      <c r="L79" s="17">
        <v>0.1111</v>
      </c>
      <c r="M79" s="11"/>
      <c r="N79" s="18">
        <v>1.5</v>
      </c>
      <c r="O79" s="12" t="s">
        <v>323</v>
      </c>
      <c r="P79" s="12" t="s">
        <v>324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x14ac:dyDescent="0.3">
      <c r="A80" s="11"/>
      <c r="B80" s="11"/>
      <c r="C80" s="11" t="s">
        <v>114</v>
      </c>
      <c r="D80" s="11" t="s">
        <v>114</v>
      </c>
      <c r="E80" s="16" t="s">
        <v>307</v>
      </c>
      <c r="F80" s="16">
        <v>0</v>
      </c>
      <c r="G80" s="16">
        <v>0</v>
      </c>
      <c r="H80" s="16">
        <v>0</v>
      </c>
      <c r="I80" s="16">
        <v>0</v>
      </c>
      <c r="J80" s="16">
        <v>1</v>
      </c>
      <c r="K80" s="16">
        <v>0</v>
      </c>
      <c r="L80" s="17">
        <v>0</v>
      </c>
      <c r="M80" s="11"/>
      <c r="N80" s="20">
        <v>0.5</v>
      </c>
      <c r="O80" s="12" t="s">
        <v>333</v>
      </c>
      <c r="P80" s="12" t="s">
        <v>324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x14ac:dyDescent="0.3">
      <c r="A81" s="11"/>
      <c r="B81" s="16" t="s">
        <v>348</v>
      </c>
      <c r="C81" s="11" t="s">
        <v>101</v>
      </c>
      <c r="D81" s="11" t="s">
        <v>101</v>
      </c>
      <c r="E81" s="16" t="s">
        <v>307</v>
      </c>
      <c r="F81" s="16">
        <v>2</v>
      </c>
      <c r="G81" s="16">
        <v>1</v>
      </c>
      <c r="H81" s="16">
        <v>2</v>
      </c>
      <c r="I81" s="16">
        <v>0</v>
      </c>
      <c r="J81" s="16">
        <v>2</v>
      </c>
      <c r="K81" s="16">
        <v>0</v>
      </c>
      <c r="L81" s="17">
        <v>0.16669999999999999</v>
      </c>
      <c r="M81" s="11"/>
      <c r="N81" s="18">
        <v>1.5</v>
      </c>
      <c r="O81" s="12" t="s">
        <v>323</v>
      </c>
      <c r="P81" s="12" t="s">
        <v>324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x14ac:dyDescent="0.3">
      <c r="A82" s="11"/>
      <c r="B82" s="16" t="s">
        <v>348</v>
      </c>
      <c r="C82" s="11" t="s">
        <v>102</v>
      </c>
      <c r="D82" s="11" t="s">
        <v>102</v>
      </c>
      <c r="E82" s="16" t="s">
        <v>307</v>
      </c>
      <c r="F82" s="16">
        <v>6</v>
      </c>
      <c r="G82" s="16">
        <v>0</v>
      </c>
      <c r="H82" s="16">
        <v>2</v>
      </c>
      <c r="I82" s="16">
        <v>0</v>
      </c>
      <c r="J82" s="16">
        <v>1</v>
      </c>
      <c r="K82" s="16">
        <v>0</v>
      </c>
      <c r="L82" s="17">
        <v>0</v>
      </c>
      <c r="M82" s="11"/>
      <c r="N82" s="20">
        <v>0.5</v>
      </c>
      <c r="O82" s="12" t="s">
        <v>333</v>
      </c>
      <c r="P82" s="12" t="s">
        <v>324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3">
      <c r="A83" s="11"/>
      <c r="B83" s="11"/>
      <c r="C83" s="11" t="s">
        <v>56</v>
      </c>
      <c r="D83" s="11" t="s">
        <v>56</v>
      </c>
      <c r="E83" s="16" t="s">
        <v>307</v>
      </c>
      <c r="F83" s="16">
        <v>0</v>
      </c>
      <c r="G83" s="16">
        <v>0</v>
      </c>
      <c r="H83" s="16">
        <v>3</v>
      </c>
      <c r="I83" s="16">
        <v>0</v>
      </c>
      <c r="J83" s="16">
        <v>0</v>
      </c>
      <c r="K83" s="16">
        <v>0</v>
      </c>
      <c r="L83" s="17">
        <v>0</v>
      </c>
      <c r="M83" s="11"/>
      <c r="N83" s="20">
        <v>0.5</v>
      </c>
      <c r="O83" s="12" t="s">
        <v>333</v>
      </c>
      <c r="P83" s="12" t="s">
        <v>324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x14ac:dyDescent="0.3">
      <c r="A84" s="11"/>
      <c r="B84" s="16" t="s">
        <v>348</v>
      </c>
      <c r="C84" s="11" t="s">
        <v>354</v>
      </c>
      <c r="D84" s="11" t="s">
        <v>354</v>
      </c>
      <c r="E84" s="16" t="s">
        <v>307</v>
      </c>
      <c r="F84" s="16">
        <v>2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7">
        <v>0</v>
      </c>
      <c r="M84" s="11"/>
      <c r="N84" s="20">
        <v>0.5</v>
      </c>
      <c r="O84" s="12" t="s">
        <v>333</v>
      </c>
      <c r="P84" s="12" t="s">
        <v>324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x14ac:dyDescent="0.3">
      <c r="A85" s="11"/>
      <c r="B85" s="16" t="s">
        <v>348</v>
      </c>
      <c r="C85" s="11" t="s">
        <v>64</v>
      </c>
      <c r="D85" s="11" t="s">
        <v>64</v>
      </c>
      <c r="E85" s="16" t="s">
        <v>307</v>
      </c>
      <c r="F85" s="16">
        <v>5</v>
      </c>
      <c r="G85" s="16">
        <v>0</v>
      </c>
      <c r="H85" s="16">
        <v>3</v>
      </c>
      <c r="I85" s="16">
        <v>0</v>
      </c>
      <c r="J85" s="16">
        <v>2</v>
      </c>
      <c r="K85" s="16">
        <v>0</v>
      </c>
      <c r="L85" s="17">
        <v>0</v>
      </c>
      <c r="M85" s="11"/>
      <c r="N85" s="20">
        <v>0.5</v>
      </c>
      <c r="O85" s="12" t="s">
        <v>333</v>
      </c>
      <c r="P85" s="12" t="s">
        <v>324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x14ac:dyDescent="0.3">
      <c r="A86" s="11"/>
      <c r="B86" s="16" t="s">
        <v>348</v>
      </c>
      <c r="C86" s="11" t="s">
        <v>139</v>
      </c>
      <c r="D86" s="11" t="s">
        <v>139</v>
      </c>
      <c r="E86" s="16" t="s">
        <v>307</v>
      </c>
      <c r="F86" s="16">
        <v>4</v>
      </c>
      <c r="G86" s="16">
        <v>1</v>
      </c>
      <c r="H86" s="16">
        <v>3</v>
      </c>
      <c r="I86" s="16">
        <v>0</v>
      </c>
      <c r="J86" s="16">
        <v>3</v>
      </c>
      <c r="K86" s="16">
        <v>0</v>
      </c>
      <c r="L86" s="17">
        <v>0.1</v>
      </c>
      <c r="M86" s="11"/>
      <c r="N86" s="19">
        <v>0.75</v>
      </c>
      <c r="O86" s="12" t="s">
        <v>331</v>
      </c>
      <c r="P86" s="12" t="s">
        <v>324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3">
      <c r="A87" s="11"/>
      <c r="B87" s="16" t="s">
        <v>348</v>
      </c>
      <c r="C87" s="11" t="s">
        <v>355</v>
      </c>
      <c r="D87" s="11" t="s">
        <v>355</v>
      </c>
      <c r="E87" s="16" t="s">
        <v>307</v>
      </c>
      <c r="F87" s="16">
        <v>2</v>
      </c>
      <c r="G87" s="16">
        <v>0</v>
      </c>
      <c r="H87" s="16">
        <v>1</v>
      </c>
      <c r="I87" s="16">
        <v>0</v>
      </c>
      <c r="J87" s="16">
        <v>0</v>
      </c>
      <c r="K87" s="16">
        <v>0</v>
      </c>
      <c r="L87" s="17">
        <v>0</v>
      </c>
      <c r="M87" s="11"/>
      <c r="N87" s="20">
        <v>0.5</v>
      </c>
      <c r="O87" s="12" t="s">
        <v>333</v>
      </c>
      <c r="P87" s="12" t="s">
        <v>324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3">
      <c r="A88" s="11"/>
      <c r="B88" s="16" t="s">
        <v>348</v>
      </c>
      <c r="C88" s="11" t="s">
        <v>10</v>
      </c>
      <c r="D88" s="11" t="s">
        <v>10</v>
      </c>
      <c r="E88" s="16" t="s">
        <v>307</v>
      </c>
      <c r="F88" s="16">
        <v>4</v>
      </c>
      <c r="G88" s="16">
        <v>1</v>
      </c>
      <c r="H88" s="16">
        <v>2</v>
      </c>
      <c r="I88" s="16">
        <v>0</v>
      </c>
      <c r="J88" s="16">
        <v>4</v>
      </c>
      <c r="K88" s="16">
        <v>0</v>
      </c>
      <c r="L88" s="17">
        <v>0.1</v>
      </c>
      <c r="M88" s="11"/>
      <c r="N88" s="19">
        <v>0.75</v>
      </c>
      <c r="O88" s="12" t="s">
        <v>331</v>
      </c>
      <c r="P88" s="12" t="s">
        <v>324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3">
      <c r="A89" s="11"/>
      <c r="B89" s="16" t="s">
        <v>348</v>
      </c>
      <c r="C89" s="11" t="s">
        <v>30</v>
      </c>
      <c r="D89" s="11" t="s">
        <v>30</v>
      </c>
      <c r="E89" s="16" t="s">
        <v>307</v>
      </c>
      <c r="F89" s="16">
        <v>8</v>
      </c>
      <c r="G89" s="16">
        <v>1</v>
      </c>
      <c r="H89" s="16">
        <v>3</v>
      </c>
      <c r="I89" s="16">
        <v>0</v>
      </c>
      <c r="J89" s="16">
        <v>6</v>
      </c>
      <c r="K89" s="16">
        <v>2</v>
      </c>
      <c r="L89" s="17">
        <v>0.17649999999999999</v>
      </c>
      <c r="M89" s="11"/>
      <c r="N89" s="18">
        <v>1.5</v>
      </c>
      <c r="O89" s="12" t="s">
        <v>323</v>
      </c>
      <c r="P89" s="12" t="s">
        <v>324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x14ac:dyDescent="0.3">
      <c r="A90" s="11"/>
      <c r="B90" s="16" t="s">
        <v>348</v>
      </c>
      <c r="C90" s="27" t="s">
        <v>70</v>
      </c>
      <c r="D90" s="11" t="s">
        <v>70</v>
      </c>
      <c r="E90" s="16" t="s">
        <v>307</v>
      </c>
      <c r="F90" s="28">
        <v>6</v>
      </c>
      <c r="G90" s="16">
        <v>0</v>
      </c>
      <c r="H90" s="16">
        <v>3</v>
      </c>
      <c r="I90" s="16">
        <v>0</v>
      </c>
      <c r="J90" s="16">
        <v>9</v>
      </c>
      <c r="K90" s="16">
        <v>0</v>
      </c>
      <c r="L90" s="17">
        <v>0</v>
      </c>
      <c r="M90" s="11"/>
      <c r="N90" s="20">
        <v>0.5</v>
      </c>
      <c r="O90" s="12" t="s">
        <v>333</v>
      </c>
      <c r="P90" s="12" t="s">
        <v>324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3">
      <c r="A91" s="11"/>
      <c r="B91" s="16" t="s">
        <v>348</v>
      </c>
      <c r="C91" s="11" t="s">
        <v>356</v>
      </c>
      <c r="D91" s="11" t="s">
        <v>356</v>
      </c>
      <c r="E91" s="16" t="s">
        <v>307</v>
      </c>
      <c r="F91" s="16">
        <v>5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1"/>
      <c r="N91" s="20">
        <v>0.5</v>
      </c>
      <c r="O91" s="12" t="s">
        <v>333</v>
      </c>
      <c r="P91" s="12" t="s">
        <v>324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x14ac:dyDescent="0.3">
      <c r="A92" s="11"/>
      <c r="B92" s="16" t="s">
        <v>348</v>
      </c>
      <c r="C92" s="11" t="s">
        <v>143</v>
      </c>
      <c r="D92" s="11" t="s">
        <v>143</v>
      </c>
      <c r="E92" s="16" t="s">
        <v>307</v>
      </c>
      <c r="F92" s="16">
        <v>3</v>
      </c>
      <c r="G92" s="16">
        <v>0</v>
      </c>
      <c r="H92" s="16">
        <v>3</v>
      </c>
      <c r="I92" s="16">
        <v>0</v>
      </c>
      <c r="J92" s="16">
        <v>0</v>
      </c>
      <c r="K92" s="16">
        <v>0</v>
      </c>
      <c r="L92" s="17">
        <v>0</v>
      </c>
      <c r="M92" s="11"/>
      <c r="N92" s="20">
        <v>0.5</v>
      </c>
      <c r="O92" s="12" t="s">
        <v>333</v>
      </c>
      <c r="P92" s="12" t="s">
        <v>324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x14ac:dyDescent="0.3">
      <c r="A93" s="11"/>
      <c r="B93" s="16" t="s">
        <v>348</v>
      </c>
      <c r="C93" s="11" t="s">
        <v>357</v>
      </c>
      <c r="D93" s="11" t="s">
        <v>357</v>
      </c>
      <c r="E93" s="16" t="s">
        <v>307</v>
      </c>
      <c r="F93" s="16">
        <v>3</v>
      </c>
      <c r="G93" s="16">
        <v>1</v>
      </c>
      <c r="H93" s="16">
        <v>0</v>
      </c>
      <c r="I93" s="16">
        <v>0</v>
      </c>
      <c r="J93" s="16">
        <v>1</v>
      </c>
      <c r="K93" s="16">
        <v>0</v>
      </c>
      <c r="L93" s="17">
        <v>0.25</v>
      </c>
      <c r="M93" s="11"/>
      <c r="N93" s="18">
        <v>1.5</v>
      </c>
      <c r="O93" s="12" t="s">
        <v>323</v>
      </c>
      <c r="P93" s="12" t="s">
        <v>324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x14ac:dyDescent="0.3">
      <c r="A94" s="11"/>
      <c r="B94" s="11"/>
      <c r="C94" s="11" t="s">
        <v>358</v>
      </c>
      <c r="D94" s="11" t="s">
        <v>358</v>
      </c>
      <c r="E94" s="16" t="s">
        <v>307</v>
      </c>
      <c r="F94" s="16">
        <v>0</v>
      </c>
      <c r="G94" s="16">
        <v>0</v>
      </c>
      <c r="H94" s="16">
        <v>1</v>
      </c>
      <c r="I94" s="16">
        <v>0</v>
      </c>
      <c r="J94" s="16">
        <v>0</v>
      </c>
      <c r="K94" s="16">
        <v>0</v>
      </c>
      <c r="L94" s="17">
        <v>0</v>
      </c>
      <c r="M94" s="11"/>
      <c r="N94" s="20">
        <v>0.5</v>
      </c>
      <c r="O94" s="12" t="s">
        <v>333</v>
      </c>
      <c r="P94" s="12" t="s">
        <v>324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3">
      <c r="A95" s="11"/>
      <c r="B95" s="16" t="s">
        <v>348</v>
      </c>
      <c r="C95" s="11" t="s">
        <v>86</v>
      </c>
      <c r="D95" s="11" t="s">
        <v>86</v>
      </c>
      <c r="E95" s="16" t="s">
        <v>307</v>
      </c>
      <c r="F95" s="16">
        <v>7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7">
        <v>0</v>
      </c>
      <c r="M95" s="11"/>
      <c r="N95" s="20">
        <v>0.5</v>
      </c>
      <c r="O95" s="12" t="s">
        <v>333</v>
      </c>
      <c r="P95" s="12" t="s">
        <v>324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x14ac:dyDescent="0.3">
      <c r="A96" s="11"/>
      <c r="B96" s="16" t="s">
        <v>348</v>
      </c>
      <c r="C96" s="11" t="s">
        <v>40</v>
      </c>
      <c r="D96" s="11" t="s">
        <v>40</v>
      </c>
      <c r="E96" s="16" t="s">
        <v>307</v>
      </c>
      <c r="F96" s="16">
        <v>12</v>
      </c>
      <c r="G96" s="16">
        <v>0</v>
      </c>
      <c r="H96" s="16">
        <v>3</v>
      </c>
      <c r="I96" s="16">
        <v>0</v>
      </c>
      <c r="J96" s="16">
        <v>5</v>
      </c>
      <c r="K96" s="16">
        <v>0</v>
      </c>
      <c r="L96" s="17">
        <v>0</v>
      </c>
      <c r="M96" s="11"/>
      <c r="N96" s="20">
        <v>0.5</v>
      </c>
      <c r="O96" s="12" t="s">
        <v>333</v>
      </c>
      <c r="P96" s="12" t="s">
        <v>324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x14ac:dyDescent="0.3">
      <c r="A97" s="11"/>
      <c r="B97" s="16" t="s">
        <v>348</v>
      </c>
      <c r="C97" s="11" t="s">
        <v>12</v>
      </c>
      <c r="D97" s="11" t="s">
        <v>12</v>
      </c>
      <c r="E97" s="16" t="s">
        <v>307</v>
      </c>
      <c r="F97" s="16">
        <v>5</v>
      </c>
      <c r="G97" s="16">
        <v>0</v>
      </c>
      <c r="H97" s="16">
        <v>0</v>
      </c>
      <c r="I97" s="16">
        <v>0</v>
      </c>
      <c r="J97" s="16">
        <v>7</v>
      </c>
      <c r="K97" s="16">
        <v>0</v>
      </c>
      <c r="L97" s="17">
        <v>0</v>
      </c>
      <c r="M97" s="11"/>
      <c r="N97" s="20">
        <v>0.5</v>
      </c>
      <c r="O97" s="12" t="s">
        <v>333</v>
      </c>
      <c r="P97" s="12" t="s">
        <v>324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x14ac:dyDescent="0.3">
      <c r="A98" s="11"/>
      <c r="B98" s="16" t="s">
        <v>348</v>
      </c>
      <c r="C98" s="27" t="s">
        <v>359</v>
      </c>
      <c r="D98" s="11" t="s">
        <v>359</v>
      </c>
      <c r="E98" s="16" t="s">
        <v>307</v>
      </c>
      <c r="F98" s="28">
        <v>5</v>
      </c>
      <c r="G98" s="16">
        <v>0</v>
      </c>
      <c r="H98" s="16">
        <v>3</v>
      </c>
      <c r="I98" s="16">
        <v>0</v>
      </c>
      <c r="J98" s="16">
        <v>0</v>
      </c>
      <c r="K98" s="16">
        <v>0</v>
      </c>
      <c r="L98" s="17">
        <v>0</v>
      </c>
      <c r="M98" s="11"/>
      <c r="N98" s="20">
        <v>0.5</v>
      </c>
      <c r="O98" s="12" t="s">
        <v>333</v>
      </c>
      <c r="P98" s="12" t="s">
        <v>324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x14ac:dyDescent="0.3">
      <c r="A99" s="11"/>
      <c r="B99" s="16" t="s">
        <v>348</v>
      </c>
      <c r="C99" s="11" t="s">
        <v>42</v>
      </c>
      <c r="D99" s="11" t="s">
        <v>42</v>
      </c>
      <c r="E99" s="16" t="s">
        <v>307</v>
      </c>
      <c r="F99" s="16">
        <v>5</v>
      </c>
      <c r="G99" s="16">
        <v>2</v>
      </c>
      <c r="H99" s="16">
        <v>3</v>
      </c>
      <c r="I99" s="16">
        <v>1</v>
      </c>
      <c r="J99" s="16">
        <v>5</v>
      </c>
      <c r="K99" s="16">
        <v>0</v>
      </c>
      <c r="L99" s="17">
        <v>0.23080000000000001</v>
      </c>
      <c r="M99" s="11"/>
      <c r="N99" s="18">
        <v>1.5</v>
      </c>
      <c r="O99" s="12" t="s">
        <v>323</v>
      </c>
      <c r="P99" s="12" t="s">
        <v>324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x14ac:dyDescent="0.3">
      <c r="A100" s="11"/>
      <c r="B100" s="16" t="s">
        <v>348</v>
      </c>
      <c r="C100" s="27" t="s">
        <v>360</v>
      </c>
      <c r="D100" s="11" t="s">
        <v>360</v>
      </c>
      <c r="E100" s="16" t="s">
        <v>307</v>
      </c>
      <c r="F100" s="28">
        <v>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7">
        <v>0</v>
      </c>
      <c r="M100" s="11"/>
      <c r="N100" s="20">
        <v>0.5</v>
      </c>
      <c r="O100" s="12" t="s">
        <v>333</v>
      </c>
      <c r="P100" s="12" t="s">
        <v>324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3">
      <c r="A101" s="11"/>
      <c r="B101" s="16" t="s">
        <v>348</v>
      </c>
      <c r="C101" s="11" t="s">
        <v>52</v>
      </c>
      <c r="D101" s="11" t="s">
        <v>52</v>
      </c>
      <c r="E101" s="16" t="s">
        <v>307</v>
      </c>
      <c r="F101" s="16">
        <v>2</v>
      </c>
      <c r="G101" s="16">
        <v>0</v>
      </c>
      <c r="H101" s="16">
        <v>3</v>
      </c>
      <c r="I101" s="16">
        <v>0</v>
      </c>
      <c r="J101" s="16">
        <v>2</v>
      </c>
      <c r="K101" s="16">
        <v>0</v>
      </c>
      <c r="L101" s="17">
        <v>0</v>
      </c>
      <c r="M101" s="11"/>
      <c r="N101" s="20">
        <v>0.5</v>
      </c>
      <c r="O101" s="12" t="s">
        <v>333</v>
      </c>
      <c r="P101" s="12" t="s">
        <v>324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x14ac:dyDescent="0.3">
      <c r="A102" s="11"/>
      <c r="B102" s="11"/>
      <c r="C102" s="11" t="s">
        <v>140</v>
      </c>
      <c r="D102" s="11" t="s">
        <v>140</v>
      </c>
      <c r="E102" s="16" t="s">
        <v>307</v>
      </c>
      <c r="F102" s="16">
        <v>0</v>
      </c>
      <c r="G102" s="16">
        <v>0</v>
      </c>
      <c r="H102" s="16">
        <v>2</v>
      </c>
      <c r="I102" s="16">
        <v>0</v>
      </c>
      <c r="J102" s="16">
        <v>2</v>
      </c>
      <c r="K102" s="16">
        <v>0</v>
      </c>
      <c r="L102" s="17">
        <v>0</v>
      </c>
      <c r="M102" s="11"/>
      <c r="N102" s="20">
        <v>0.5</v>
      </c>
      <c r="O102" s="12" t="s">
        <v>333</v>
      </c>
      <c r="P102" s="12" t="s">
        <v>324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x14ac:dyDescent="0.3">
      <c r="A103" s="11"/>
      <c r="B103" s="16" t="s">
        <v>348</v>
      </c>
      <c r="C103" s="11" t="s">
        <v>17</v>
      </c>
      <c r="D103" s="11" t="s">
        <v>17</v>
      </c>
      <c r="E103" s="16" t="s">
        <v>307</v>
      </c>
      <c r="F103" s="16">
        <v>9</v>
      </c>
      <c r="G103" s="16">
        <v>0</v>
      </c>
      <c r="H103" s="16">
        <v>3</v>
      </c>
      <c r="I103" s="16">
        <v>1</v>
      </c>
      <c r="J103" s="16">
        <v>13</v>
      </c>
      <c r="K103" s="16">
        <v>0</v>
      </c>
      <c r="L103" s="17">
        <v>0.04</v>
      </c>
      <c r="M103" s="11"/>
      <c r="N103" s="19">
        <v>0.75</v>
      </c>
      <c r="O103" s="12" t="s">
        <v>331</v>
      </c>
      <c r="P103" s="12" t="s">
        <v>324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x14ac:dyDescent="0.3">
      <c r="A104" s="11"/>
      <c r="B104" s="16" t="s">
        <v>348</v>
      </c>
      <c r="C104" s="11" t="s">
        <v>94</v>
      </c>
      <c r="D104" s="11" t="s">
        <v>94</v>
      </c>
      <c r="E104" s="16" t="s">
        <v>307</v>
      </c>
      <c r="F104" s="16">
        <v>5</v>
      </c>
      <c r="G104" s="16">
        <v>0</v>
      </c>
      <c r="H104" s="16">
        <v>3</v>
      </c>
      <c r="I104" s="16">
        <v>0</v>
      </c>
      <c r="J104" s="16">
        <v>7</v>
      </c>
      <c r="K104" s="16">
        <v>0</v>
      </c>
      <c r="L104" s="17">
        <v>0</v>
      </c>
      <c r="M104" s="11"/>
      <c r="N104" s="20">
        <v>0.5</v>
      </c>
      <c r="O104" s="12" t="s">
        <v>333</v>
      </c>
      <c r="P104" s="12" t="s">
        <v>324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x14ac:dyDescent="0.3">
      <c r="A105" s="11"/>
      <c r="B105" s="16" t="s">
        <v>348</v>
      </c>
      <c r="C105" s="11" t="s">
        <v>81</v>
      </c>
      <c r="D105" s="11" t="s">
        <v>81</v>
      </c>
      <c r="E105" s="16" t="s">
        <v>307</v>
      </c>
      <c r="F105" s="16">
        <v>2</v>
      </c>
      <c r="G105" s="16">
        <v>0</v>
      </c>
      <c r="H105" s="16">
        <v>0</v>
      </c>
      <c r="I105" s="16">
        <v>0</v>
      </c>
      <c r="J105" s="16">
        <v>2</v>
      </c>
      <c r="K105" s="16">
        <v>0</v>
      </c>
      <c r="L105" s="17">
        <v>0</v>
      </c>
      <c r="M105" s="11"/>
      <c r="N105" s="20">
        <v>0.5</v>
      </c>
      <c r="O105" s="12" t="s">
        <v>333</v>
      </c>
      <c r="P105" s="12" t="s">
        <v>324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x14ac:dyDescent="0.3">
      <c r="A106" s="11"/>
      <c r="B106" s="16" t="s">
        <v>348</v>
      </c>
      <c r="C106" s="11" t="s">
        <v>361</v>
      </c>
      <c r="D106" s="11" t="s">
        <v>361</v>
      </c>
      <c r="E106" s="16" t="s">
        <v>307</v>
      </c>
      <c r="F106" s="16">
        <v>2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7">
        <v>0</v>
      </c>
      <c r="M106" s="11"/>
      <c r="N106" s="20">
        <v>0.5</v>
      </c>
      <c r="O106" s="12" t="s">
        <v>333</v>
      </c>
      <c r="P106" s="12" t="s">
        <v>324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x14ac:dyDescent="0.3">
      <c r="A107" s="11"/>
      <c r="B107" s="11"/>
      <c r="C107" s="11" t="s">
        <v>362</v>
      </c>
      <c r="D107" s="11" t="s">
        <v>362</v>
      </c>
      <c r="E107" s="16" t="s">
        <v>307</v>
      </c>
      <c r="F107" s="16">
        <v>0</v>
      </c>
      <c r="G107" s="16">
        <v>0</v>
      </c>
      <c r="H107" s="16">
        <v>3</v>
      </c>
      <c r="I107" s="16">
        <v>0</v>
      </c>
      <c r="J107" s="16">
        <v>3</v>
      </c>
      <c r="K107" s="16">
        <v>0</v>
      </c>
      <c r="L107" s="17">
        <v>0</v>
      </c>
      <c r="M107" s="11"/>
      <c r="N107" s="20">
        <v>0.5</v>
      </c>
      <c r="O107" s="12" t="s">
        <v>333</v>
      </c>
      <c r="P107" s="12" t="s">
        <v>324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x14ac:dyDescent="0.3">
      <c r="A108" s="11"/>
      <c r="B108" s="16" t="s">
        <v>348</v>
      </c>
      <c r="C108" s="27" t="s">
        <v>363</v>
      </c>
      <c r="D108" s="11" t="s">
        <v>363</v>
      </c>
      <c r="E108" s="16" t="s">
        <v>307</v>
      </c>
      <c r="F108" s="28">
        <v>2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7">
        <v>0</v>
      </c>
      <c r="M108" s="11"/>
      <c r="N108" s="20">
        <v>0.5</v>
      </c>
      <c r="O108" s="12" t="s">
        <v>333</v>
      </c>
      <c r="P108" s="12" t="s">
        <v>324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x14ac:dyDescent="0.3">
      <c r="A109" s="11"/>
      <c r="B109" s="16" t="s">
        <v>348</v>
      </c>
      <c r="C109" s="11" t="s">
        <v>16</v>
      </c>
      <c r="D109" s="11" t="s">
        <v>16</v>
      </c>
      <c r="E109" s="16" t="s">
        <v>307</v>
      </c>
      <c r="F109" s="16">
        <v>9</v>
      </c>
      <c r="G109" s="16">
        <v>1</v>
      </c>
      <c r="H109" s="16">
        <v>3</v>
      </c>
      <c r="I109" s="16">
        <v>0</v>
      </c>
      <c r="J109" s="16">
        <v>7</v>
      </c>
      <c r="K109" s="16">
        <v>0</v>
      </c>
      <c r="L109" s="17">
        <v>5.2600000000000001E-2</v>
      </c>
      <c r="M109" s="11"/>
      <c r="N109" s="19">
        <v>0.75</v>
      </c>
      <c r="O109" s="12" t="s">
        <v>331</v>
      </c>
      <c r="P109" s="12" t="s">
        <v>324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x14ac:dyDescent="0.3">
      <c r="A110" s="11"/>
      <c r="B110" s="16" t="s">
        <v>348</v>
      </c>
      <c r="C110" s="11" t="s">
        <v>133</v>
      </c>
      <c r="D110" s="11" t="s">
        <v>133</v>
      </c>
      <c r="E110" s="16" t="s">
        <v>307</v>
      </c>
      <c r="F110" s="16">
        <v>5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7">
        <v>0</v>
      </c>
      <c r="M110" s="11"/>
      <c r="N110" s="20">
        <v>0.5</v>
      </c>
      <c r="O110" s="12" t="s">
        <v>333</v>
      </c>
      <c r="P110" s="12" t="s">
        <v>324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x14ac:dyDescent="0.3">
      <c r="A111" s="11"/>
      <c r="B111" s="16" t="s">
        <v>348</v>
      </c>
      <c r="C111" s="11" t="s">
        <v>27</v>
      </c>
      <c r="D111" s="11" t="s">
        <v>27</v>
      </c>
      <c r="E111" s="16" t="s">
        <v>307</v>
      </c>
      <c r="F111" s="16">
        <v>5</v>
      </c>
      <c r="G111" s="16">
        <v>0</v>
      </c>
      <c r="H111" s="16">
        <v>3</v>
      </c>
      <c r="I111" s="16">
        <v>0</v>
      </c>
      <c r="J111" s="16">
        <v>3</v>
      </c>
      <c r="K111" s="16">
        <v>0</v>
      </c>
      <c r="L111" s="17">
        <v>0</v>
      </c>
      <c r="M111" s="11"/>
      <c r="N111" s="20">
        <v>0.5</v>
      </c>
      <c r="O111" s="12" t="s">
        <v>333</v>
      </c>
      <c r="P111" s="12" t="s">
        <v>324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x14ac:dyDescent="0.3">
      <c r="A112" s="11"/>
      <c r="B112" s="16" t="s">
        <v>348</v>
      </c>
      <c r="C112" s="27" t="s">
        <v>364</v>
      </c>
      <c r="D112" s="11" t="s">
        <v>364</v>
      </c>
      <c r="E112" s="16" t="s">
        <v>307</v>
      </c>
      <c r="F112" s="28">
        <v>8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7">
        <v>0</v>
      </c>
      <c r="M112" s="11"/>
      <c r="N112" s="20">
        <v>0.5</v>
      </c>
      <c r="O112" s="12" t="s">
        <v>333</v>
      </c>
      <c r="P112" s="12" t="s">
        <v>324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x14ac:dyDescent="0.3">
      <c r="A113" s="11"/>
      <c r="B113" s="16" t="s">
        <v>348</v>
      </c>
      <c r="C113" s="11" t="s">
        <v>6</v>
      </c>
      <c r="D113" s="11" t="s">
        <v>6</v>
      </c>
      <c r="E113" s="16" t="s">
        <v>307</v>
      </c>
      <c r="F113" s="16">
        <v>5</v>
      </c>
      <c r="G113" s="16">
        <v>0</v>
      </c>
      <c r="H113" s="16">
        <v>3</v>
      </c>
      <c r="I113" s="16">
        <v>0</v>
      </c>
      <c r="J113" s="16">
        <v>5</v>
      </c>
      <c r="K113" s="16">
        <v>0</v>
      </c>
      <c r="L113" s="17">
        <v>0</v>
      </c>
      <c r="M113" s="11"/>
      <c r="N113" s="20">
        <v>0.5</v>
      </c>
      <c r="O113" s="12" t="s">
        <v>333</v>
      </c>
      <c r="P113" s="12" t="s">
        <v>324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x14ac:dyDescent="0.3">
      <c r="A114" s="11"/>
      <c r="B114" s="16" t="s">
        <v>348</v>
      </c>
      <c r="C114" s="11" t="s">
        <v>98</v>
      </c>
      <c r="D114" s="11" t="s">
        <v>98</v>
      </c>
      <c r="E114" s="16" t="s">
        <v>307</v>
      </c>
      <c r="F114" s="16">
        <v>3</v>
      </c>
      <c r="G114" s="16">
        <v>0</v>
      </c>
      <c r="H114" s="16">
        <v>2</v>
      </c>
      <c r="I114" s="16">
        <v>0</v>
      </c>
      <c r="J114" s="16">
        <v>3</v>
      </c>
      <c r="K114" s="16">
        <v>0</v>
      </c>
      <c r="L114" s="17">
        <v>0</v>
      </c>
      <c r="M114" s="11"/>
      <c r="N114" s="20">
        <v>0.5</v>
      </c>
      <c r="O114" s="12" t="s">
        <v>333</v>
      </c>
      <c r="P114" s="12" t="s">
        <v>324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x14ac:dyDescent="0.3">
      <c r="A115" s="11"/>
      <c r="B115" s="16" t="s">
        <v>348</v>
      </c>
      <c r="C115" s="11" t="s">
        <v>142</v>
      </c>
      <c r="D115" s="11" t="s">
        <v>142</v>
      </c>
      <c r="E115" s="16" t="s">
        <v>307</v>
      </c>
      <c r="F115" s="16">
        <v>2</v>
      </c>
      <c r="G115" s="16">
        <v>0</v>
      </c>
      <c r="H115" s="16">
        <v>2</v>
      </c>
      <c r="I115" s="16">
        <v>0</v>
      </c>
      <c r="J115" s="16">
        <v>1</v>
      </c>
      <c r="K115" s="16">
        <v>0</v>
      </c>
      <c r="L115" s="17">
        <v>0</v>
      </c>
      <c r="M115" s="11"/>
      <c r="N115" s="20">
        <v>0.5</v>
      </c>
      <c r="O115" s="12" t="s">
        <v>333</v>
      </c>
      <c r="P115" s="12" t="s">
        <v>324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x14ac:dyDescent="0.3">
      <c r="A116" s="11"/>
      <c r="B116" s="16" t="s">
        <v>348</v>
      </c>
      <c r="C116" s="11" t="s">
        <v>109</v>
      </c>
      <c r="D116" s="11" t="s">
        <v>109</v>
      </c>
      <c r="E116" s="16" t="s">
        <v>307</v>
      </c>
      <c r="F116" s="16">
        <v>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7">
        <v>0</v>
      </c>
      <c r="M116" s="11"/>
      <c r="N116" s="20">
        <v>0.5</v>
      </c>
      <c r="O116" s="12" t="s">
        <v>333</v>
      </c>
      <c r="P116" s="12" t="s">
        <v>324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x14ac:dyDescent="0.3">
      <c r="A117" s="11"/>
      <c r="B117" s="16" t="s">
        <v>348</v>
      </c>
      <c r="C117" s="11" t="s">
        <v>39</v>
      </c>
      <c r="D117" s="11" t="s">
        <v>39</v>
      </c>
      <c r="E117" s="16" t="s">
        <v>307</v>
      </c>
      <c r="F117" s="16">
        <v>15</v>
      </c>
      <c r="G117" s="16">
        <v>0</v>
      </c>
      <c r="H117" s="16">
        <v>3</v>
      </c>
      <c r="I117" s="16">
        <v>0</v>
      </c>
      <c r="J117" s="16">
        <v>4</v>
      </c>
      <c r="K117" s="16">
        <v>0</v>
      </c>
      <c r="L117" s="17">
        <v>0</v>
      </c>
      <c r="M117" s="11"/>
      <c r="N117" s="20">
        <v>0.5</v>
      </c>
      <c r="O117" s="12" t="s">
        <v>333</v>
      </c>
      <c r="P117" s="12" t="s">
        <v>324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x14ac:dyDescent="0.3">
      <c r="A118" s="11"/>
      <c r="B118" s="16" t="s">
        <v>348</v>
      </c>
      <c r="C118" s="11" t="s">
        <v>22</v>
      </c>
      <c r="D118" s="11" t="s">
        <v>22</v>
      </c>
      <c r="E118" s="16" t="s">
        <v>307</v>
      </c>
      <c r="F118" s="16">
        <v>3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7">
        <v>0</v>
      </c>
      <c r="M118" s="11"/>
      <c r="N118" s="20">
        <v>0.5</v>
      </c>
      <c r="O118" s="12" t="s">
        <v>333</v>
      </c>
      <c r="P118" s="12" t="s">
        <v>324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x14ac:dyDescent="0.3">
      <c r="A119" s="11"/>
      <c r="B119" s="16" t="s">
        <v>348</v>
      </c>
      <c r="C119" s="11" t="s">
        <v>136</v>
      </c>
      <c r="D119" s="11" t="s">
        <v>136</v>
      </c>
      <c r="E119" s="16" t="s">
        <v>307</v>
      </c>
      <c r="F119" s="16">
        <v>5</v>
      </c>
      <c r="G119" s="16">
        <v>1</v>
      </c>
      <c r="H119" s="16">
        <v>3</v>
      </c>
      <c r="I119" s="16">
        <v>0</v>
      </c>
      <c r="J119" s="16">
        <v>4</v>
      </c>
      <c r="K119" s="16">
        <v>0</v>
      </c>
      <c r="L119" s="17">
        <v>8.3299999999999999E-2</v>
      </c>
      <c r="M119" s="11"/>
      <c r="N119" s="19">
        <v>0.75</v>
      </c>
      <c r="O119" s="12" t="s">
        <v>331</v>
      </c>
      <c r="P119" s="12" t="s">
        <v>324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x14ac:dyDescent="0.3">
      <c r="A120" s="11"/>
      <c r="B120" s="16" t="s">
        <v>348</v>
      </c>
      <c r="C120" s="11" t="s">
        <v>365</v>
      </c>
      <c r="D120" s="11" t="s">
        <v>365</v>
      </c>
      <c r="E120" s="16" t="s">
        <v>307</v>
      </c>
      <c r="F120" s="16">
        <v>1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7">
        <v>0</v>
      </c>
      <c r="M120" s="11"/>
      <c r="N120" s="20">
        <v>0.5</v>
      </c>
      <c r="O120" s="12" t="s">
        <v>333</v>
      </c>
      <c r="P120" s="12" t="s">
        <v>324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x14ac:dyDescent="0.3">
      <c r="A121" s="11"/>
      <c r="B121" s="16" t="s">
        <v>348</v>
      </c>
      <c r="C121" s="11" t="s">
        <v>69</v>
      </c>
      <c r="D121" s="11" t="s">
        <v>69</v>
      </c>
      <c r="E121" s="16" t="s">
        <v>307</v>
      </c>
      <c r="F121" s="16">
        <v>9</v>
      </c>
      <c r="G121" s="16">
        <v>0</v>
      </c>
      <c r="H121" s="16">
        <v>12</v>
      </c>
      <c r="I121" s="16">
        <v>1</v>
      </c>
      <c r="J121" s="16">
        <v>3</v>
      </c>
      <c r="K121" s="16">
        <v>0</v>
      </c>
      <c r="L121" s="17">
        <v>4.1700000000000001E-2</v>
      </c>
      <c r="M121" s="11"/>
      <c r="N121" s="19">
        <v>0.75</v>
      </c>
      <c r="O121" s="12" t="s">
        <v>331</v>
      </c>
      <c r="P121" s="12" t="s">
        <v>324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x14ac:dyDescent="0.3">
      <c r="A122" s="11"/>
      <c r="B122" s="11"/>
      <c r="C122" s="11" t="s">
        <v>366</v>
      </c>
      <c r="D122" s="11" t="s">
        <v>366</v>
      </c>
      <c r="E122" s="16" t="s">
        <v>307</v>
      </c>
      <c r="F122" s="16">
        <v>0</v>
      </c>
      <c r="G122" s="16">
        <v>0</v>
      </c>
      <c r="H122" s="16">
        <v>0</v>
      </c>
      <c r="I122" s="16">
        <v>0</v>
      </c>
      <c r="J122" s="16">
        <v>3</v>
      </c>
      <c r="K122" s="16">
        <v>0</v>
      </c>
      <c r="L122" s="17">
        <v>0</v>
      </c>
      <c r="M122" s="11"/>
      <c r="N122" s="20">
        <v>0.5</v>
      </c>
      <c r="O122" s="12" t="s">
        <v>333</v>
      </c>
      <c r="P122" s="12" t="s">
        <v>324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x14ac:dyDescent="0.3">
      <c r="A123" s="11"/>
      <c r="B123" s="16" t="s">
        <v>348</v>
      </c>
      <c r="C123" s="27" t="s">
        <v>367</v>
      </c>
      <c r="D123" s="11" t="s">
        <v>367</v>
      </c>
      <c r="E123" s="16" t="s">
        <v>307</v>
      </c>
      <c r="F123" s="28">
        <v>7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7">
        <v>0</v>
      </c>
      <c r="M123" s="11"/>
      <c r="N123" s="20">
        <v>0.5</v>
      </c>
      <c r="O123" s="12" t="s">
        <v>333</v>
      </c>
      <c r="P123" s="12" t="s">
        <v>324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x14ac:dyDescent="0.3">
      <c r="A124" s="11"/>
      <c r="B124" s="16" t="s">
        <v>348</v>
      </c>
      <c r="C124" s="11" t="s">
        <v>15</v>
      </c>
      <c r="D124" s="11" t="s">
        <v>15</v>
      </c>
      <c r="E124" s="16" t="s">
        <v>307</v>
      </c>
      <c r="F124" s="16">
        <v>2</v>
      </c>
      <c r="G124" s="16">
        <v>0</v>
      </c>
      <c r="H124" s="16">
        <v>0</v>
      </c>
      <c r="I124" s="16">
        <v>0</v>
      </c>
      <c r="J124" s="16">
        <v>5</v>
      </c>
      <c r="K124" s="16">
        <v>0</v>
      </c>
      <c r="L124" s="17">
        <v>0</v>
      </c>
      <c r="M124" s="11"/>
      <c r="N124" s="20">
        <v>0.5</v>
      </c>
      <c r="O124" s="12" t="s">
        <v>333</v>
      </c>
      <c r="P124" s="12" t="s">
        <v>324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x14ac:dyDescent="0.3">
      <c r="A125" s="11"/>
      <c r="B125" s="16" t="s">
        <v>348</v>
      </c>
      <c r="C125" s="11" t="s">
        <v>35</v>
      </c>
      <c r="D125" s="11" t="s">
        <v>35</v>
      </c>
      <c r="E125" s="16" t="s">
        <v>307</v>
      </c>
      <c r="F125" s="16">
        <v>7</v>
      </c>
      <c r="G125" s="16">
        <v>1</v>
      </c>
      <c r="H125" s="16">
        <v>3</v>
      </c>
      <c r="I125" s="16">
        <v>1</v>
      </c>
      <c r="J125" s="16">
        <v>5</v>
      </c>
      <c r="K125" s="16">
        <v>0</v>
      </c>
      <c r="L125" s="17">
        <v>0.1333</v>
      </c>
      <c r="M125" s="11"/>
      <c r="N125" s="18">
        <v>1.5</v>
      </c>
      <c r="O125" s="12" t="s">
        <v>323</v>
      </c>
      <c r="P125" s="12" t="s">
        <v>324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x14ac:dyDescent="0.3">
      <c r="A126" s="11"/>
      <c r="B126" s="16" t="s">
        <v>348</v>
      </c>
      <c r="C126" s="11" t="s">
        <v>368</v>
      </c>
      <c r="D126" s="11" t="s">
        <v>368</v>
      </c>
      <c r="E126" s="16" t="s">
        <v>307</v>
      </c>
      <c r="F126" s="16">
        <v>1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7">
        <v>0</v>
      </c>
      <c r="M126" s="11"/>
      <c r="N126" s="20">
        <v>0.5</v>
      </c>
      <c r="O126" s="12" t="s">
        <v>333</v>
      </c>
      <c r="P126" s="12" t="s">
        <v>324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x14ac:dyDescent="0.3">
      <c r="A127" s="11"/>
      <c r="B127" s="16" t="s">
        <v>348</v>
      </c>
      <c r="C127" s="11" t="s">
        <v>369</v>
      </c>
      <c r="D127" s="11" t="s">
        <v>369</v>
      </c>
      <c r="E127" s="16" t="s">
        <v>307</v>
      </c>
      <c r="F127" s="16">
        <v>4</v>
      </c>
      <c r="G127" s="16">
        <v>0</v>
      </c>
      <c r="H127" s="16">
        <v>2</v>
      </c>
      <c r="I127" s="16">
        <v>0</v>
      </c>
      <c r="J127" s="16">
        <v>0</v>
      </c>
      <c r="K127" s="16">
        <v>0</v>
      </c>
      <c r="L127" s="17">
        <v>0</v>
      </c>
      <c r="M127" s="11"/>
      <c r="N127" s="20">
        <v>0.5</v>
      </c>
      <c r="O127" s="12" t="s">
        <v>333</v>
      </c>
      <c r="P127" s="12" t="s">
        <v>324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x14ac:dyDescent="0.3">
      <c r="A128" s="11"/>
      <c r="B128" s="16" t="s">
        <v>348</v>
      </c>
      <c r="C128" s="11" t="s">
        <v>11</v>
      </c>
      <c r="D128" s="11" t="s">
        <v>11</v>
      </c>
      <c r="E128" s="16" t="s">
        <v>307</v>
      </c>
      <c r="F128" s="16">
        <v>3</v>
      </c>
      <c r="G128" s="16">
        <v>0</v>
      </c>
      <c r="H128" s="16">
        <v>3</v>
      </c>
      <c r="I128" s="16">
        <v>0</v>
      </c>
      <c r="J128" s="16">
        <v>2</v>
      </c>
      <c r="K128" s="16">
        <v>0</v>
      </c>
      <c r="L128" s="17">
        <v>0</v>
      </c>
      <c r="M128" s="11"/>
      <c r="N128" s="20">
        <v>0.5</v>
      </c>
      <c r="O128" s="12" t="s">
        <v>333</v>
      </c>
      <c r="P128" s="12" t="s">
        <v>324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x14ac:dyDescent="0.3">
      <c r="A129" s="11"/>
      <c r="B129" s="16" t="s">
        <v>348</v>
      </c>
      <c r="C129" s="11" t="s">
        <v>13</v>
      </c>
      <c r="D129" s="11" t="s">
        <v>13</v>
      </c>
      <c r="E129" s="16" t="s">
        <v>307</v>
      </c>
      <c r="F129" s="16">
        <v>3</v>
      </c>
      <c r="G129" s="16">
        <v>0</v>
      </c>
      <c r="H129" s="16">
        <v>3</v>
      </c>
      <c r="I129" s="16">
        <v>1</v>
      </c>
      <c r="J129" s="16">
        <v>6</v>
      </c>
      <c r="K129" s="16">
        <v>0</v>
      </c>
      <c r="L129" s="17">
        <v>8.3299999999999999E-2</v>
      </c>
      <c r="M129" s="11"/>
      <c r="N129" s="19">
        <v>0.75</v>
      </c>
      <c r="O129" s="12" t="s">
        <v>331</v>
      </c>
      <c r="P129" s="12" t="s">
        <v>324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x14ac:dyDescent="0.3">
      <c r="A130" s="11"/>
      <c r="B130" s="16" t="s">
        <v>348</v>
      </c>
      <c r="C130" s="11" t="s">
        <v>370</v>
      </c>
      <c r="D130" s="11" t="s">
        <v>370</v>
      </c>
      <c r="E130" s="16" t="s">
        <v>307</v>
      </c>
      <c r="F130" s="16">
        <v>3</v>
      </c>
      <c r="G130" s="16">
        <v>0</v>
      </c>
      <c r="H130" s="16">
        <v>2</v>
      </c>
      <c r="I130" s="16">
        <v>1</v>
      </c>
      <c r="J130" s="16">
        <v>1</v>
      </c>
      <c r="K130" s="16">
        <v>0</v>
      </c>
      <c r="L130" s="17">
        <v>0.16669999999999999</v>
      </c>
      <c r="M130" s="11"/>
      <c r="N130" s="18">
        <v>1.5</v>
      </c>
      <c r="O130" s="12" t="s">
        <v>323</v>
      </c>
      <c r="P130" s="12" t="s">
        <v>324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x14ac:dyDescent="0.3">
      <c r="A131" s="11"/>
      <c r="B131" s="16" t="s">
        <v>348</v>
      </c>
      <c r="C131" s="27" t="s">
        <v>371</v>
      </c>
      <c r="D131" s="11" t="s">
        <v>371</v>
      </c>
      <c r="E131" s="16" t="s">
        <v>307</v>
      </c>
      <c r="F131" s="28">
        <v>4</v>
      </c>
      <c r="G131" s="16">
        <v>0</v>
      </c>
      <c r="H131" s="16">
        <v>2</v>
      </c>
      <c r="I131" s="16">
        <v>0</v>
      </c>
      <c r="J131" s="16">
        <v>5</v>
      </c>
      <c r="K131" s="16">
        <v>0</v>
      </c>
      <c r="L131" s="17">
        <v>0</v>
      </c>
      <c r="M131" s="11"/>
      <c r="N131" s="20">
        <v>0.5</v>
      </c>
      <c r="O131" s="12" t="s">
        <v>333</v>
      </c>
      <c r="P131" s="12" t="s">
        <v>324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x14ac:dyDescent="0.3">
      <c r="A132" s="11"/>
      <c r="B132" s="11"/>
      <c r="C132" s="11" t="s">
        <v>87</v>
      </c>
      <c r="D132" s="11" t="s">
        <v>87</v>
      </c>
      <c r="E132" s="16" t="s">
        <v>307</v>
      </c>
      <c r="F132" s="16">
        <v>0</v>
      </c>
      <c r="G132" s="16">
        <v>0</v>
      </c>
      <c r="H132" s="16">
        <v>0</v>
      </c>
      <c r="I132" s="16">
        <v>0</v>
      </c>
      <c r="J132" s="16">
        <v>5</v>
      </c>
      <c r="K132" s="16">
        <v>0</v>
      </c>
      <c r="L132" s="17">
        <v>0</v>
      </c>
      <c r="M132" s="11"/>
      <c r="N132" s="20">
        <v>0.5</v>
      </c>
      <c r="O132" s="12" t="s">
        <v>333</v>
      </c>
      <c r="P132" s="12" t="s">
        <v>324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x14ac:dyDescent="0.3">
      <c r="A133" s="11"/>
      <c r="B133" s="16" t="s">
        <v>348</v>
      </c>
      <c r="C133" s="11" t="s">
        <v>372</v>
      </c>
      <c r="D133" s="11" t="s">
        <v>372</v>
      </c>
      <c r="E133" s="16" t="s">
        <v>307</v>
      </c>
      <c r="F133" s="16">
        <v>1</v>
      </c>
      <c r="G133" s="16">
        <v>0</v>
      </c>
      <c r="H133" s="16">
        <v>0</v>
      </c>
      <c r="I133" s="16">
        <v>0</v>
      </c>
      <c r="J133" s="16">
        <v>1</v>
      </c>
      <c r="K133" s="16">
        <v>0</v>
      </c>
      <c r="L133" s="17">
        <v>0</v>
      </c>
      <c r="M133" s="11"/>
      <c r="N133" s="20">
        <v>0.5</v>
      </c>
      <c r="O133" s="12" t="s">
        <v>333</v>
      </c>
      <c r="P133" s="12" t="s">
        <v>324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x14ac:dyDescent="0.3">
      <c r="A134" s="11"/>
      <c r="B134" s="16" t="s">
        <v>348</v>
      </c>
      <c r="C134" s="11" t="s">
        <v>120</v>
      </c>
      <c r="D134" s="11" t="s">
        <v>120</v>
      </c>
      <c r="E134" s="16" t="s">
        <v>307</v>
      </c>
      <c r="F134" s="16">
        <v>2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7">
        <v>0</v>
      </c>
      <c r="M134" s="11"/>
      <c r="N134" s="20">
        <v>0.5</v>
      </c>
      <c r="O134" s="12" t="s">
        <v>333</v>
      </c>
      <c r="P134" s="12" t="s">
        <v>324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x14ac:dyDescent="0.3">
      <c r="A135" s="11"/>
      <c r="B135" s="16" t="s">
        <v>348</v>
      </c>
      <c r="C135" s="11" t="s">
        <v>20</v>
      </c>
      <c r="D135" s="11" t="s">
        <v>20</v>
      </c>
      <c r="E135" s="16" t="s">
        <v>307</v>
      </c>
      <c r="F135" s="16">
        <v>3</v>
      </c>
      <c r="G135" s="16">
        <v>0</v>
      </c>
      <c r="H135" s="16">
        <v>3</v>
      </c>
      <c r="I135" s="16">
        <v>0</v>
      </c>
      <c r="J135" s="16">
        <v>3</v>
      </c>
      <c r="K135" s="16">
        <v>0</v>
      </c>
      <c r="L135" s="17">
        <v>0</v>
      </c>
      <c r="M135" s="11"/>
      <c r="N135" s="20">
        <v>0.5</v>
      </c>
      <c r="O135" s="12" t="s">
        <v>333</v>
      </c>
      <c r="P135" s="12" t="s">
        <v>324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x14ac:dyDescent="0.3">
      <c r="A136" s="11"/>
      <c r="B136" s="16" t="s">
        <v>348</v>
      </c>
      <c r="C136" s="11" t="s">
        <v>99</v>
      </c>
      <c r="D136" s="11" t="s">
        <v>99</v>
      </c>
      <c r="E136" s="16" t="s">
        <v>307</v>
      </c>
      <c r="F136" s="16">
        <v>3</v>
      </c>
      <c r="G136" s="16">
        <v>1</v>
      </c>
      <c r="H136" s="16">
        <v>2</v>
      </c>
      <c r="I136" s="16">
        <v>0</v>
      </c>
      <c r="J136" s="16">
        <v>3</v>
      </c>
      <c r="K136" s="16">
        <v>3</v>
      </c>
      <c r="L136" s="17">
        <v>0.5</v>
      </c>
      <c r="M136" s="11"/>
      <c r="N136" s="14">
        <v>2.5</v>
      </c>
      <c r="O136" s="12" t="s">
        <v>329</v>
      </c>
      <c r="P136" s="12" t="s">
        <v>324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x14ac:dyDescent="0.3">
      <c r="A137" s="11"/>
      <c r="B137" s="16" t="s">
        <v>348</v>
      </c>
      <c r="C137" s="11" t="s">
        <v>373</v>
      </c>
      <c r="D137" s="11" t="s">
        <v>373</v>
      </c>
      <c r="E137" s="16" t="s">
        <v>307</v>
      </c>
      <c r="F137" s="16">
        <v>1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7">
        <v>0</v>
      </c>
      <c r="M137" s="11"/>
      <c r="N137" s="20">
        <v>0.5</v>
      </c>
      <c r="O137" s="12" t="s">
        <v>333</v>
      </c>
      <c r="P137" s="12" t="s">
        <v>324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x14ac:dyDescent="0.3">
      <c r="A138" s="11"/>
      <c r="B138" s="11"/>
      <c r="C138" s="11" t="s">
        <v>72</v>
      </c>
      <c r="D138" s="11" t="s">
        <v>72</v>
      </c>
      <c r="E138" s="16" t="s">
        <v>307</v>
      </c>
      <c r="F138" s="16">
        <v>0</v>
      </c>
      <c r="G138" s="16">
        <v>0</v>
      </c>
      <c r="H138" s="16">
        <v>0</v>
      </c>
      <c r="I138" s="16">
        <v>0</v>
      </c>
      <c r="J138" s="16">
        <v>3</v>
      </c>
      <c r="K138" s="16">
        <v>0</v>
      </c>
      <c r="L138" s="17">
        <v>0</v>
      </c>
      <c r="M138" s="11"/>
      <c r="N138" s="20">
        <v>0.5</v>
      </c>
      <c r="O138" s="12" t="s">
        <v>333</v>
      </c>
      <c r="P138" s="12" t="s">
        <v>324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x14ac:dyDescent="0.3">
      <c r="A139" s="11"/>
      <c r="B139" s="16" t="s">
        <v>348</v>
      </c>
      <c r="C139" s="11" t="s">
        <v>71</v>
      </c>
      <c r="D139" s="11" t="s">
        <v>71</v>
      </c>
      <c r="E139" s="16" t="s">
        <v>307</v>
      </c>
      <c r="F139" s="16">
        <v>1</v>
      </c>
      <c r="G139" s="16">
        <v>0</v>
      </c>
      <c r="H139" s="16">
        <v>1</v>
      </c>
      <c r="I139" s="16">
        <v>0</v>
      </c>
      <c r="J139" s="16">
        <v>3</v>
      </c>
      <c r="K139" s="16">
        <v>0</v>
      </c>
      <c r="L139" s="17">
        <v>0</v>
      </c>
      <c r="M139" s="11"/>
      <c r="N139" s="20">
        <v>0.5</v>
      </c>
      <c r="O139" s="12" t="s">
        <v>333</v>
      </c>
      <c r="P139" s="12" t="s">
        <v>324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x14ac:dyDescent="0.3">
      <c r="A140" s="11"/>
      <c r="B140" s="11"/>
      <c r="C140" s="11" t="s">
        <v>60</v>
      </c>
      <c r="D140" s="11" t="s">
        <v>60</v>
      </c>
      <c r="E140" s="16" t="s">
        <v>307</v>
      </c>
      <c r="F140" s="16">
        <v>0</v>
      </c>
      <c r="G140" s="16">
        <v>0</v>
      </c>
      <c r="H140" s="16">
        <v>3</v>
      </c>
      <c r="I140" s="16">
        <v>0</v>
      </c>
      <c r="J140" s="16">
        <v>3</v>
      </c>
      <c r="K140" s="16">
        <v>0</v>
      </c>
      <c r="L140" s="17">
        <v>0</v>
      </c>
      <c r="M140" s="11"/>
      <c r="N140" s="20">
        <v>0.5</v>
      </c>
      <c r="O140" s="12" t="s">
        <v>333</v>
      </c>
      <c r="P140" s="12" t="s">
        <v>324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x14ac:dyDescent="0.3">
      <c r="A141" s="11"/>
      <c r="B141" s="16" t="s">
        <v>348</v>
      </c>
      <c r="C141" s="11" t="s">
        <v>23</v>
      </c>
      <c r="D141" s="11" t="s">
        <v>23</v>
      </c>
      <c r="E141" s="16" t="s">
        <v>307</v>
      </c>
      <c r="F141" s="16">
        <v>5</v>
      </c>
      <c r="G141" s="16">
        <v>0</v>
      </c>
      <c r="H141" s="16">
        <v>3</v>
      </c>
      <c r="I141" s="16">
        <v>0</v>
      </c>
      <c r="J141" s="16">
        <v>6</v>
      </c>
      <c r="K141" s="16">
        <v>0</v>
      </c>
      <c r="L141" s="17">
        <v>0</v>
      </c>
      <c r="M141" s="11"/>
      <c r="N141" s="20">
        <v>0.5</v>
      </c>
      <c r="O141" s="12" t="s">
        <v>333</v>
      </c>
      <c r="P141" s="12" t="s">
        <v>324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x14ac:dyDescent="0.3">
      <c r="A142" s="11"/>
      <c r="B142" s="16" t="s">
        <v>348</v>
      </c>
      <c r="C142" s="11" t="s">
        <v>137</v>
      </c>
      <c r="D142" s="11" t="s">
        <v>137</v>
      </c>
      <c r="E142" s="16" t="s">
        <v>307</v>
      </c>
      <c r="F142" s="16">
        <v>3</v>
      </c>
      <c r="G142" s="16">
        <v>0</v>
      </c>
      <c r="H142" s="16">
        <v>0</v>
      </c>
      <c r="I142" s="16">
        <v>0</v>
      </c>
      <c r="J142" s="16">
        <v>3</v>
      </c>
      <c r="K142" s="16">
        <v>1</v>
      </c>
      <c r="L142" s="17">
        <v>0.16669999999999999</v>
      </c>
      <c r="M142" s="11"/>
      <c r="N142" s="18">
        <v>1.5</v>
      </c>
      <c r="O142" s="12" t="s">
        <v>323</v>
      </c>
      <c r="P142" s="12" t="s">
        <v>324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x14ac:dyDescent="0.3">
      <c r="A143" s="11"/>
      <c r="B143" s="16" t="s">
        <v>348</v>
      </c>
      <c r="C143" s="11" t="s">
        <v>374</v>
      </c>
      <c r="D143" s="11" t="s">
        <v>374</v>
      </c>
      <c r="E143" s="16" t="s">
        <v>307</v>
      </c>
      <c r="F143" s="16">
        <v>1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7">
        <v>0</v>
      </c>
      <c r="M143" s="11"/>
      <c r="N143" s="20">
        <v>0.5</v>
      </c>
      <c r="O143" s="12" t="s">
        <v>333</v>
      </c>
      <c r="P143" s="12" t="s">
        <v>324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x14ac:dyDescent="0.3">
      <c r="A144" s="11"/>
      <c r="B144" s="11"/>
      <c r="C144" s="11" t="s">
        <v>79</v>
      </c>
      <c r="D144" s="11" t="s">
        <v>79</v>
      </c>
      <c r="E144" s="16" t="s">
        <v>307</v>
      </c>
      <c r="F144" s="16">
        <v>0</v>
      </c>
      <c r="G144" s="16">
        <v>0</v>
      </c>
      <c r="H144" s="16">
        <v>1</v>
      </c>
      <c r="I144" s="16">
        <v>0</v>
      </c>
      <c r="J144" s="16">
        <v>0</v>
      </c>
      <c r="K144" s="16">
        <v>0</v>
      </c>
      <c r="L144" s="17">
        <v>0</v>
      </c>
      <c r="M144" s="11"/>
      <c r="N144" s="20">
        <v>0.5</v>
      </c>
      <c r="O144" s="12" t="s">
        <v>333</v>
      </c>
      <c r="P144" s="12" t="s">
        <v>324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x14ac:dyDescent="0.3">
      <c r="A145" s="11"/>
      <c r="B145" s="16" t="s">
        <v>348</v>
      </c>
      <c r="C145" s="11" t="s">
        <v>375</v>
      </c>
      <c r="D145" s="11" t="s">
        <v>375</v>
      </c>
      <c r="E145" s="16" t="s">
        <v>307</v>
      </c>
      <c r="F145" s="16">
        <v>2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7">
        <v>0</v>
      </c>
      <c r="M145" s="11"/>
      <c r="N145" s="20">
        <v>0.5</v>
      </c>
      <c r="O145" s="12" t="s">
        <v>333</v>
      </c>
      <c r="P145" s="12" t="s">
        <v>324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x14ac:dyDescent="0.3">
      <c r="A146" s="11"/>
      <c r="B146" s="16" t="s">
        <v>348</v>
      </c>
      <c r="C146" s="11" t="s">
        <v>44</v>
      </c>
      <c r="D146" s="11" t="s">
        <v>44</v>
      </c>
      <c r="E146" s="16" t="s">
        <v>307</v>
      </c>
      <c r="F146" s="16">
        <v>56</v>
      </c>
      <c r="G146" s="16">
        <v>0</v>
      </c>
      <c r="H146" s="16">
        <v>3</v>
      </c>
      <c r="I146" s="16">
        <v>0</v>
      </c>
      <c r="J146" s="16">
        <v>4</v>
      </c>
      <c r="K146" s="16">
        <v>0</v>
      </c>
      <c r="L146" s="17">
        <v>0</v>
      </c>
      <c r="M146" s="11"/>
      <c r="N146" s="20">
        <v>0.5</v>
      </c>
      <c r="O146" s="12" t="s">
        <v>333</v>
      </c>
      <c r="P146" s="12" t="s">
        <v>324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x14ac:dyDescent="0.3">
      <c r="A147" s="11"/>
      <c r="B147" s="16" t="s">
        <v>348</v>
      </c>
      <c r="C147" s="11" t="s">
        <v>90</v>
      </c>
      <c r="D147" s="11" t="s">
        <v>90</v>
      </c>
      <c r="E147" s="16" t="s">
        <v>307</v>
      </c>
      <c r="F147" s="16">
        <v>2</v>
      </c>
      <c r="G147" s="16">
        <v>0</v>
      </c>
      <c r="H147" s="16">
        <v>0</v>
      </c>
      <c r="I147" s="16">
        <v>0</v>
      </c>
      <c r="J147" s="16">
        <v>2</v>
      </c>
      <c r="K147" s="16">
        <v>0</v>
      </c>
      <c r="L147" s="17">
        <v>0</v>
      </c>
      <c r="M147" s="11"/>
      <c r="N147" s="20">
        <v>0.5</v>
      </c>
      <c r="O147" s="12" t="s">
        <v>333</v>
      </c>
      <c r="P147" s="12" t="s">
        <v>324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x14ac:dyDescent="0.3">
      <c r="A148" s="11"/>
      <c r="B148" s="11"/>
      <c r="C148" s="11" t="s">
        <v>89</v>
      </c>
      <c r="D148" s="11" t="s">
        <v>89</v>
      </c>
      <c r="E148" s="16" t="s">
        <v>307</v>
      </c>
      <c r="F148" s="16">
        <v>0</v>
      </c>
      <c r="G148" s="16">
        <v>0</v>
      </c>
      <c r="H148" s="16">
        <v>3</v>
      </c>
      <c r="I148" s="16">
        <v>0</v>
      </c>
      <c r="J148" s="16">
        <v>7</v>
      </c>
      <c r="K148" s="16">
        <v>0</v>
      </c>
      <c r="L148" s="17">
        <v>0</v>
      </c>
      <c r="M148" s="11"/>
      <c r="N148" s="20">
        <v>0.5</v>
      </c>
      <c r="O148" s="12" t="s">
        <v>333</v>
      </c>
      <c r="P148" s="12" t="s">
        <v>324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x14ac:dyDescent="0.3">
      <c r="A149" s="11"/>
      <c r="B149" s="11"/>
      <c r="C149" s="11" t="s">
        <v>92</v>
      </c>
      <c r="D149" s="11" t="s">
        <v>92</v>
      </c>
      <c r="E149" s="16" t="s">
        <v>307</v>
      </c>
      <c r="F149" s="16">
        <v>0</v>
      </c>
      <c r="G149" s="16">
        <v>0</v>
      </c>
      <c r="H149" s="16">
        <v>1</v>
      </c>
      <c r="I149" s="16">
        <v>0</v>
      </c>
      <c r="J149" s="16">
        <v>2</v>
      </c>
      <c r="K149" s="16">
        <v>0</v>
      </c>
      <c r="L149" s="17">
        <v>0</v>
      </c>
      <c r="M149" s="11"/>
      <c r="N149" s="20">
        <v>0.5</v>
      </c>
      <c r="O149" s="12" t="s">
        <v>333</v>
      </c>
      <c r="P149" s="12" t="s">
        <v>324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x14ac:dyDescent="0.3">
      <c r="A150" s="11"/>
      <c r="B150" s="16" t="s">
        <v>348</v>
      </c>
      <c r="C150" s="27" t="s">
        <v>376</v>
      </c>
      <c r="D150" s="11" t="s">
        <v>376</v>
      </c>
      <c r="E150" s="16" t="s">
        <v>307</v>
      </c>
      <c r="F150" s="28">
        <v>1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7">
        <v>0</v>
      </c>
      <c r="M150" s="11"/>
      <c r="N150" s="20">
        <v>0.5</v>
      </c>
      <c r="O150" s="12" t="s">
        <v>333</v>
      </c>
      <c r="P150" s="12" t="s">
        <v>324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x14ac:dyDescent="0.3">
      <c r="A151" s="11"/>
      <c r="B151" s="16" t="s">
        <v>348</v>
      </c>
      <c r="C151" s="11" t="s">
        <v>96</v>
      </c>
      <c r="D151" s="11" t="s">
        <v>96</v>
      </c>
      <c r="E151" s="16" t="s">
        <v>307</v>
      </c>
      <c r="F151" s="16">
        <v>3</v>
      </c>
      <c r="G151" s="16">
        <v>0</v>
      </c>
      <c r="H151" s="16">
        <v>3</v>
      </c>
      <c r="I151" s="16">
        <v>0</v>
      </c>
      <c r="J151" s="16">
        <v>0</v>
      </c>
      <c r="K151" s="16">
        <v>0</v>
      </c>
      <c r="L151" s="17">
        <v>0</v>
      </c>
      <c r="M151" s="11"/>
      <c r="N151" s="20">
        <v>0.5</v>
      </c>
      <c r="O151" s="12" t="s">
        <v>333</v>
      </c>
      <c r="P151" s="12" t="s">
        <v>324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x14ac:dyDescent="0.3">
      <c r="A152" s="11"/>
      <c r="B152" s="16" t="s">
        <v>348</v>
      </c>
      <c r="C152" s="11" t="s">
        <v>48</v>
      </c>
      <c r="D152" s="11" t="s">
        <v>48</v>
      </c>
      <c r="E152" s="16" t="s">
        <v>307</v>
      </c>
      <c r="F152" s="16">
        <v>32</v>
      </c>
      <c r="G152" s="16">
        <v>1</v>
      </c>
      <c r="H152" s="16">
        <v>3</v>
      </c>
      <c r="I152" s="16">
        <v>2</v>
      </c>
      <c r="J152" s="16">
        <v>2</v>
      </c>
      <c r="K152" s="16">
        <v>0</v>
      </c>
      <c r="L152" s="17">
        <v>8.1100000000000005E-2</v>
      </c>
      <c r="M152" s="11"/>
      <c r="N152" s="19">
        <v>0.75</v>
      </c>
      <c r="O152" s="12" t="s">
        <v>331</v>
      </c>
      <c r="P152" s="12" t="s">
        <v>324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x14ac:dyDescent="0.3">
      <c r="A153" s="11"/>
      <c r="B153" s="16" t="s">
        <v>348</v>
      </c>
      <c r="C153" s="11" t="s">
        <v>108</v>
      </c>
      <c r="D153" s="11" t="s">
        <v>108</v>
      </c>
      <c r="E153" s="16" t="s">
        <v>307</v>
      </c>
      <c r="F153" s="16">
        <v>3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7">
        <v>0</v>
      </c>
      <c r="M153" s="11"/>
      <c r="N153" s="20">
        <v>0.5</v>
      </c>
      <c r="O153" s="12" t="s">
        <v>333</v>
      </c>
      <c r="P153" s="12" t="s">
        <v>324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x14ac:dyDescent="0.3">
      <c r="A154" s="11"/>
      <c r="B154" s="16" t="s">
        <v>348</v>
      </c>
      <c r="C154" s="27" t="s">
        <v>32</v>
      </c>
      <c r="D154" s="11" t="s">
        <v>32</v>
      </c>
      <c r="E154" s="16" t="s">
        <v>307</v>
      </c>
      <c r="F154" s="28">
        <v>5</v>
      </c>
      <c r="G154" s="16">
        <v>0</v>
      </c>
      <c r="H154" s="16">
        <v>3</v>
      </c>
      <c r="I154" s="16">
        <v>0</v>
      </c>
      <c r="J154" s="16">
        <v>3</v>
      </c>
      <c r="K154" s="16">
        <v>0</v>
      </c>
      <c r="L154" s="17">
        <v>0</v>
      </c>
      <c r="M154" s="11"/>
      <c r="N154" s="20">
        <v>0.5</v>
      </c>
      <c r="O154" s="12" t="s">
        <v>333</v>
      </c>
      <c r="P154" s="12" t="s">
        <v>324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x14ac:dyDescent="0.3">
      <c r="A155" s="11"/>
      <c r="B155" s="16" t="s">
        <v>348</v>
      </c>
      <c r="C155" s="11" t="s">
        <v>36</v>
      </c>
      <c r="D155" s="11" t="s">
        <v>36</v>
      </c>
      <c r="E155" s="16" t="s">
        <v>307</v>
      </c>
      <c r="F155" s="16">
        <v>9</v>
      </c>
      <c r="G155" s="16">
        <v>1</v>
      </c>
      <c r="H155" s="16">
        <v>3</v>
      </c>
      <c r="I155" s="16">
        <v>1</v>
      </c>
      <c r="J155" s="16">
        <v>5</v>
      </c>
      <c r="K155" s="16">
        <v>0</v>
      </c>
      <c r="L155" s="17">
        <v>0.1176</v>
      </c>
      <c r="M155" s="11"/>
      <c r="N155" s="18">
        <v>1.5</v>
      </c>
      <c r="O155" s="12" t="s">
        <v>323</v>
      </c>
      <c r="P155" s="12" t="s">
        <v>324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x14ac:dyDescent="0.3">
      <c r="A156" s="11"/>
      <c r="B156" s="16" t="s">
        <v>348</v>
      </c>
      <c r="C156" s="11" t="s">
        <v>37</v>
      </c>
      <c r="D156" s="11" t="s">
        <v>37</v>
      </c>
      <c r="E156" s="16" t="s">
        <v>307</v>
      </c>
      <c r="F156" s="16">
        <v>2</v>
      </c>
      <c r="G156" s="16">
        <v>0</v>
      </c>
      <c r="H156" s="16">
        <v>0</v>
      </c>
      <c r="I156" s="16">
        <v>0</v>
      </c>
      <c r="J156" s="16">
        <v>1</v>
      </c>
      <c r="K156" s="16">
        <v>0</v>
      </c>
      <c r="L156" s="17">
        <v>0</v>
      </c>
      <c r="M156" s="11"/>
      <c r="N156" s="20">
        <v>0.5</v>
      </c>
      <c r="O156" s="12" t="s">
        <v>333</v>
      </c>
      <c r="P156" s="12" t="s">
        <v>324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x14ac:dyDescent="0.3">
      <c r="A157" s="11"/>
      <c r="B157" s="16" t="s">
        <v>348</v>
      </c>
      <c r="C157" s="11" t="s">
        <v>377</v>
      </c>
      <c r="D157" s="11" t="s">
        <v>377</v>
      </c>
      <c r="E157" s="16" t="s">
        <v>307</v>
      </c>
      <c r="F157" s="16">
        <v>1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7">
        <v>0</v>
      </c>
      <c r="M157" s="11"/>
      <c r="N157" s="20">
        <v>0.5</v>
      </c>
      <c r="O157" s="12" t="s">
        <v>333</v>
      </c>
      <c r="P157" s="12" t="s">
        <v>324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x14ac:dyDescent="0.3">
      <c r="A158" s="11"/>
      <c r="B158" s="16" t="s">
        <v>348</v>
      </c>
      <c r="C158" s="11" t="s">
        <v>378</v>
      </c>
      <c r="D158" s="11" t="s">
        <v>378</v>
      </c>
      <c r="E158" s="16" t="s">
        <v>307</v>
      </c>
      <c r="F158" s="16">
        <v>5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7">
        <v>0</v>
      </c>
      <c r="M158" s="11"/>
      <c r="N158" s="20">
        <v>0.5</v>
      </c>
      <c r="O158" s="12" t="s">
        <v>333</v>
      </c>
      <c r="P158" s="12" t="s">
        <v>324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x14ac:dyDescent="0.3">
      <c r="A159" s="11"/>
      <c r="B159" s="16" t="s">
        <v>348</v>
      </c>
      <c r="C159" s="11" t="s">
        <v>41</v>
      </c>
      <c r="D159" s="11" t="s">
        <v>41</v>
      </c>
      <c r="E159" s="16" t="s">
        <v>307</v>
      </c>
      <c r="F159" s="16">
        <v>6</v>
      </c>
      <c r="G159" s="16">
        <v>1</v>
      </c>
      <c r="H159" s="16">
        <v>0</v>
      </c>
      <c r="I159" s="16">
        <v>0</v>
      </c>
      <c r="J159" s="16">
        <v>3</v>
      </c>
      <c r="K159" s="16">
        <v>0</v>
      </c>
      <c r="L159" s="17">
        <v>0.1111</v>
      </c>
      <c r="M159" s="11"/>
      <c r="N159" s="18">
        <v>1.5</v>
      </c>
      <c r="O159" s="12" t="s">
        <v>323</v>
      </c>
      <c r="P159" s="12" t="s">
        <v>324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x14ac:dyDescent="0.3">
      <c r="A160" s="11"/>
      <c r="B160" s="16" t="s">
        <v>348</v>
      </c>
      <c r="C160" s="11" t="s">
        <v>130</v>
      </c>
      <c r="D160" s="11" t="s">
        <v>130</v>
      </c>
      <c r="E160" s="16" t="s">
        <v>307</v>
      </c>
      <c r="F160" s="16">
        <v>5</v>
      </c>
      <c r="G160" s="16">
        <v>0</v>
      </c>
      <c r="H160" s="16">
        <v>3</v>
      </c>
      <c r="I160" s="16">
        <v>0</v>
      </c>
      <c r="J160" s="16">
        <v>4</v>
      </c>
      <c r="K160" s="16">
        <v>0</v>
      </c>
      <c r="L160" s="17">
        <v>0</v>
      </c>
      <c r="M160" s="11"/>
      <c r="N160" s="20">
        <v>0.5</v>
      </c>
      <c r="O160" s="12" t="s">
        <v>333</v>
      </c>
      <c r="P160" s="12" t="s">
        <v>324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x14ac:dyDescent="0.3">
      <c r="A161" s="11"/>
      <c r="B161" s="16" t="s">
        <v>348</v>
      </c>
      <c r="C161" s="11" t="s">
        <v>379</v>
      </c>
      <c r="D161" s="11" t="s">
        <v>379</v>
      </c>
      <c r="E161" s="16" t="s">
        <v>307</v>
      </c>
      <c r="F161" s="16">
        <v>3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7">
        <v>0</v>
      </c>
      <c r="M161" s="11"/>
      <c r="N161" s="20">
        <v>0.5</v>
      </c>
      <c r="O161" s="12" t="s">
        <v>333</v>
      </c>
      <c r="P161" s="12" t="s">
        <v>324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x14ac:dyDescent="0.3">
      <c r="A162" s="11"/>
      <c r="B162" s="16" t="s">
        <v>348</v>
      </c>
      <c r="C162" s="11" t="s">
        <v>380</v>
      </c>
      <c r="D162" s="11" t="s">
        <v>380</v>
      </c>
      <c r="E162" s="16" t="s">
        <v>307</v>
      </c>
      <c r="F162" s="16">
        <v>2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7">
        <v>0</v>
      </c>
      <c r="M162" s="11"/>
      <c r="N162" s="20">
        <v>0.5</v>
      </c>
      <c r="O162" s="12" t="s">
        <v>333</v>
      </c>
      <c r="P162" s="12" t="s">
        <v>324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x14ac:dyDescent="0.3">
      <c r="A163" s="11"/>
      <c r="B163" s="16" t="s">
        <v>348</v>
      </c>
      <c r="C163" s="11" t="s">
        <v>84</v>
      </c>
      <c r="D163" s="11" t="s">
        <v>84</v>
      </c>
      <c r="E163" s="16" t="s">
        <v>307</v>
      </c>
      <c r="F163" s="16">
        <v>2</v>
      </c>
      <c r="G163" s="16">
        <v>0</v>
      </c>
      <c r="H163" s="16">
        <v>2</v>
      </c>
      <c r="I163" s="16">
        <v>0</v>
      </c>
      <c r="J163" s="16">
        <v>2</v>
      </c>
      <c r="K163" s="16">
        <v>0</v>
      </c>
      <c r="L163" s="17">
        <v>0</v>
      </c>
      <c r="M163" s="11"/>
      <c r="N163" s="20">
        <v>0.5</v>
      </c>
      <c r="O163" s="12" t="s">
        <v>333</v>
      </c>
      <c r="P163" s="12" t="s">
        <v>324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x14ac:dyDescent="0.3">
      <c r="A164" s="11"/>
      <c r="B164" s="11"/>
      <c r="C164" s="11" t="s">
        <v>38</v>
      </c>
      <c r="D164" s="11" t="s">
        <v>38</v>
      </c>
      <c r="E164" s="16" t="s">
        <v>307</v>
      </c>
      <c r="F164" s="16">
        <v>0</v>
      </c>
      <c r="G164" s="16">
        <v>0</v>
      </c>
      <c r="H164" s="16">
        <v>0</v>
      </c>
      <c r="I164" s="16">
        <v>0</v>
      </c>
      <c r="J164" s="16">
        <v>3</v>
      </c>
      <c r="K164" s="16">
        <v>0</v>
      </c>
      <c r="L164" s="17">
        <v>0</v>
      </c>
      <c r="M164" s="11"/>
      <c r="N164" s="20">
        <v>0.5</v>
      </c>
      <c r="O164" s="12" t="s">
        <v>333</v>
      </c>
      <c r="P164" s="12" t="s">
        <v>324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x14ac:dyDescent="0.3">
      <c r="A165" s="11"/>
      <c r="B165" s="16" t="s">
        <v>348</v>
      </c>
      <c r="C165" s="11" t="s">
        <v>45</v>
      </c>
      <c r="D165" s="11" t="s">
        <v>45</v>
      </c>
      <c r="E165" s="16" t="s">
        <v>307</v>
      </c>
      <c r="F165" s="16">
        <v>16</v>
      </c>
      <c r="G165" s="16">
        <v>0</v>
      </c>
      <c r="H165" s="16">
        <v>3</v>
      </c>
      <c r="I165" s="16">
        <v>1</v>
      </c>
      <c r="J165" s="16">
        <v>7</v>
      </c>
      <c r="K165" s="16">
        <v>1</v>
      </c>
      <c r="L165" s="17">
        <v>7.6899999999999996E-2</v>
      </c>
      <c r="M165" s="11"/>
      <c r="N165" s="19">
        <v>0.75</v>
      </c>
      <c r="O165" s="12" t="s">
        <v>331</v>
      </c>
      <c r="P165" s="12" t="s">
        <v>324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x14ac:dyDescent="0.3">
      <c r="A166" s="11"/>
      <c r="B166" s="11"/>
      <c r="C166" s="11" t="s">
        <v>381</v>
      </c>
      <c r="D166" s="11" t="s">
        <v>381</v>
      </c>
      <c r="E166" s="16" t="s">
        <v>307</v>
      </c>
      <c r="F166" s="16">
        <v>0</v>
      </c>
      <c r="G166" s="16">
        <v>0</v>
      </c>
      <c r="H166" s="16">
        <v>1</v>
      </c>
      <c r="I166" s="16">
        <v>0</v>
      </c>
      <c r="J166" s="16">
        <v>0</v>
      </c>
      <c r="K166" s="16">
        <v>0</v>
      </c>
      <c r="L166" s="17">
        <v>0</v>
      </c>
      <c r="M166" s="11"/>
      <c r="N166" s="20">
        <v>0.5</v>
      </c>
      <c r="O166" s="12" t="s">
        <v>333</v>
      </c>
      <c r="P166" s="12" t="s">
        <v>324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x14ac:dyDescent="0.3">
      <c r="A167" s="11"/>
      <c r="B167" s="16" t="s">
        <v>348</v>
      </c>
      <c r="C167" s="11" t="s">
        <v>34</v>
      </c>
      <c r="D167" s="11" t="s">
        <v>34</v>
      </c>
      <c r="E167" s="16" t="s">
        <v>307</v>
      </c>
      <c r="F167" s="16">
        <v>7</v>
      </c>
      <c r="G167" s="16">
        <v>0</v>
      </c>
      <c r="H167" s="16">
        <v>3</v>
      </c>
      <c r="I167" s="16">
        <v>2</v>
      </c>
      <c r="J167" s="16">
        <v>5</v>
      </c>
      <c r="K167" s="16">
        <v>0</v>
      </c>
      <c r="L167" s="17">
        <v>0.1333</v>
      </c>
      <c r="M167" s="11"/>
      <c r="N167" s="18">
        <v>1.5</v>
      </c>
      <c r="O167" s="12" t="s">
        <v>323</v>
      </c>
      <c r="P167" s="12" t="s">
        <v>324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x14ac:dyDescent="0.3">
      <c r="A168" s="11"/>
      <c r="B168" s="16" t="s">
        <v>348</v>
      </c>
      <c r="C168" s="11" t="s">
        <v>125</v>
      </c>
      <c r="D168" s="11" t="s">
        <v>125</v>
      </c>
      <c r="E168" s="16" t="s">
        <v>307</v>
      </c>
      <c r="F168" s="16">
        <v>1</v>
      </c>
      <c r="G168" s="16">
        <v>0</v>
      </c>
      <c r="H168" s="16">
        <v>1</v>
      </c>
      <c r="I168" s="16">
        <v>1</v>
      </c>
      <c r="J168" s="16">
        <v>0</v>
      </c>
      <c r="K168" s="16">
        <v>0</v>
      </c>
      <c r="L168" s="17">
        <v>0.5</v>
      </c>
      <c r="M168" s="11"/>
      <c r="N168" s="14">
        <v>2.5</v>
      </c>
      <c r="O168" s="12" t="s">
        <v>329</v>
      </c>
      <c r="P168" s="12" t="s">
        <v>324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x14ac:dyDescent="0.3">
      <c r="A169" s="11"/>
      <c r="B169" s="16" t="s">
        <v>348</v>
      </c>
      <c r="C169" s="11" t="s">
        <v>54</v>
      </c>
      <c r="D169" s="11" t="s">
        <v>54</v>
      </c>
      <c r="E169" s="16" t="s">
        <v>307</v>
      </c>
      <c r="F169" s="16">
        <v>6</v>
      </c>
      <c r="G169" s="16">
        <v>0</v>
      </c>
      <c r="H169" s="16">
        <v>3</v>
      </c>
      <c r="I169" s="16">
        <v>0</v>
      </c>
      <c r="J169" s="16">
        <v>3</v>
      </c>
      <c r="K169" s="16">
        <v>0</v>
      </c>
      <c r="L169" s="17">
        <v>0</v>
      </c>
      <c r="M169" s="11"/>
      <c r="N169" s="20">
        <v>0.5</v>
      </c>
      <c r="O169" s="12" t="s">
        <v>333</v>
      </c>
      <c r="P169" s="12" t="s">
        <v>324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x14ac:dyDescent="0.3">
      <c r="A170" s="11"/>
      <c r="B170" s="16" t="s">
        <v>348</v>
      </c>
      <c r="C170" s="11" t="s">
        <v>382</v>
      </c>
      <c r="D170" s="11" t="s">
        <v>382</v>
      </c>
      <c r="E170" s="16" t="s">
        <v>307</v>
      </c>
      <c r="F170" s="16">
        <v>5</v>
      </c>
      <c r="G170" s="16">
        <v>1</v>
      </c>
      <c r="H170" s="16">
        <v>3</v>
      </c>
      <c r="I170" s="16">
        <v>0</v>
      </c>
      <c r="J170" s="16">
        <v>3</v>
      </c>
      <c r="K170" s="16">
        <v>0</v>
      </c>
      <c r="L170" s="17">
        <v>9.0899999999999995E-2</v>
      </c>
      <c r="M170" s="11"/>
      <c r="N170" s="19">
        <v>0.75</v>
      </c>
      <c r="O170" s="12" t="s">
        <v>331</v>
      </c>
      <c r="P170" s="12" t="s">
        <v>324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x14ac:dyDescent="0.3">
      <c r="A171" s="11"/>
      <c r="B171" s="16" t="s">
        <v>348</v>
      </c>
      <c r="C171" s="11" t="s">
        <v>49</v>
      </c>
      <c r="D171" s="11" t="s">
        <v>49</v>
      </c>
      <c r="E171" s="16" t="s">
        <v>307</v>
      </c>
      <c r="F171" s="16">
        <v>2</v>
      </c>
      <c r="G171" s="16">
        <v>0</v>
      </c>
      <c r="H171" s="16">
        <v>2</v>
      </c>
      <c r="I171" s="16">
        <v>1</v>
      </c>
      <c r="J171" s="16">
        <v>7</v>
      </c>
      <c r="K171" s="16">
        <v>0</v>
      </c>
      <c r="L171" s="17">
        <v>9.0899999999999995E-2</v>
      </c>
      <c r="M171" s="11"/>
      <c r="N171" s="19">
        <v>0.75</v>
      </c>
      <c r="O171" s="12" t="s">
        <v>331</v>
      </c>
      <c r="P171" s="12" t="s">
        <v>324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x14ac:dyDescent="0.3">
      <c r="A172" s="11"/>
      <c r="B172" s="16" t="s">
        <v>348</v>
      </c>
      <c r="C172" s="11" t="s">
        <v>28</v>
      </c>
      <c r="D172" s="11" t="s">
        <v>28</v>
      </c>
      <c r="E172" s="16" t="s">
        <v>307</v>
      </c>
      <c r="F172" s="16">
        <v>5</v>
      </c>
      <c r="G172" s="16">
        <v>0</v>
      </c>
      <c r="H172" s="16">
        <v>3</v>
      </c>
      <c r="I172" s="16">
        <v>0</v>
      </c>
      <c r="J172" s="16">
        <v>3</v>
      </c>
      <c r="K172" s="16">
        <v>0</v>
      </c>
      <c r="L172" s="17">
        <v>0</v>
      </c>
      <c r="M172" s="11"/>
      <c r="N172" s="20">
        <v>0.5</v>
      </c>
      <c r="O172" s="12" t="s">
        <v>333</v>
      </c>
      <c r="P172" s="12" t="s">
        <v>324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x14ac:dyDescent="0.3">
      <c r="A173" s="11"/>
      <c r="B173" s="11"/>
      <c r="C173" s="11" t="s">
        <v>104</v>
      </c>
      <c r="D173" s="11" t="s">
        <v>104</v>
      </c>
      <c r="E173" s="16" t="s">
        <v>307</v>
      </c>
      <c r="F173" s="16">
        <v>0</v>
      </c>
      <c r="G173" s="16">
        <v>0</v>
      </c>
      <c r="H173" s="16">
        <v>1</v>
      </c>
      <c r="I173" s="16">
        <v>0</v>
      </c>
      <c r="J173" s="16">
        <v>0</v>
      </c>
      <c r="K173" s="16">
        <v>0</v>
      </c>
      <c r="L173" s="17">
        <v>0</v>
      </c>
      <c r="M173" s="11"/>
      <c r="N173" s="20">
        <v>0.5</v>
      </c>
      <c r="O173" s="12" t="s">
        <v>333</v>
      </c>
      <c r="P173" s="12" t="s">
        <v>324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x14ac:dyDescent="0.3">
      <c r="A174" s="11"/>
      <c r="B174" s="16" t="s">
        <v>348</v>
      </c>
      <c r="C174" s="11" t="s">
        <v>383</v>
      </c>
      <c r="D174" s="11" t="s">
        <v>383</v>
      </c>
      <c r="E174" s="16" t="s">
        <v>307</v>
      </c>
      <c r="F174" s="16">
        <v>5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7">
        <v>0</v>
      </c>
      <c r="M174" s="11"/>
      <c r="N174" s="20">
        <v>0.5</v>
      </c>
      <c r="O174" s="12" t="s">
        <v>333</v>
      </c>
      <c r="P174" s="12" t="s">
        <v>324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x14ac:dyDescent="0.3">
      <c r="A175" s="11"/>
      <c r="B175" s="16" t="s">
        <v>348</v>
      </c>
      <c r="C175" s="11" t="s">
        <v>384</v>
      </c>
      <c r="D175" s="11" t="s">
        <v>384</v>
      </c>
      <c r="E175" s="16" t="s">
        <v>307</v>
      </c>
      <c r="F175" s="16">
        <v>1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7">
        <v>0</v>
      </c>
      <c r="M175" s="11"/>
      <c r="N175" s="20">
        <v>0.5</v>
      </c>
      <c r="O175" s="12" t="s">
        <v>333</v>
      </c>
      <c r="P175" s="12" t="s">
        <v>324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x14ac:dyDescent="0.3">
      <c r="A176" s="11"/>
      <c r="B176" s="16" t="s">
        <v>348</v>
      </c>
      <c r="C176" s="11" t="s">
        <v>106</v>
      </c>
      <c r="D176" s="11" t="s">
        <v>106</v>
      </c>
      <c r="E176" s="16" t="s">
        <v>307</v>
      </c>
      <c r="F176" s="16">
        <v>2</v>
      </c>
      <c r="G176" s="16">
        <v>0</v>
      </c>
      <c r="H176" s="16">
        <v>1</v>
      </c>
      <c r="I176" s="16">
        <v>0</v>
      </c>
      <c r="J176" s="16">
        <v>0</v>
      </c>
      <c r="K176" s="16">
        <v>0</v>
      </c>
      <c r="L176" s="17">
        <v>0</v>
      </c>
      <c r="M176" s="11"/>
      <c r="N176" s="20">
        <v>0.5</v>
      </c>
      <c r="O176" s="12" t="s">
        <v>333</v>
      </c>
      <c r="P176" s="12" t="s">
        <v>324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x14ac:dyDescent="0.3">
      <c r="A177" s="11"/>
      <c r="B177" s="16" t="s">
        <v>348</v>
      </c>
      <c r="C177" s="11" t="s">
        <v>141</v>
      </c>
      <c r="D177" s="11" t="s">
        <v>141</v>
      </c>
      <c r="E177" s="16" t="s">
        <v>307</v>
      </c>
      <c r="F177" s="16">
        <v>2</v>
      </c>
      <c r="G177" s="16">
        <v>0</v>
      </c>
      <c r="H177" s="16">
        <v>2</v>
      </c>
      <c r="I177" s="16">
        <v>0</v>
      </c>
      <c r="J177" s="16">
        <v>0</v>
      </c>
      <c r="K177" s="16">
        <v>0</v>
      </c>
      <c r="L177" s="17">
        <v>0</v>
      </c>
      <c r="M177" s="11"/>
      <c r="N177" s="20">
        <v>0.5</v>
      </c>
      <c r="O177" s="12" t="s">
        <v>333</v>
      </c>
      <c r="P177" s="12" t="s">
        <v>324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x14ac:dyDescent="0.3">
      <c r="A178" s="11"/>
      <c r="B178" s="16" t="s">
        <v>348</v>
      </c>
      <c r="C178" s="11" t="s">
        <v>57</v>
      </c>
      <c r="D178" s="11" t="s">
        <v>57</v>
      </c>
      <c r="E178" s="16" t="s">
        <v>307</v>
      </c>
      <c r="F178" s="16">
        <v>2</v>
      </c>
      <c r="G178" s="16">
        <v>0</v>
      </c>
      <c r="H178" s="16">
        <v>1</v>
      </c>
      <c r="I178" s="16">
        <v>0</v>
      </c>
      <c r="J178" s="16">
        <v>0</v>
      </c>
      <c r="K178" s="16">
        <v>0</v>
      </c>
      <c r="L178" s="17">
        <v>0</v>
      </c>
      <c r="M178" s="11"/>
      <c r="N178" s="20">
        <v>0.5</v>
      </c>
      <c r="O178" s="12" t="s">
        <v>333</v>
      </c>
      <c r="P178" s="12" t="s">
        <v>324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x14ac:dyDescent="0.3">
      <c r="A179" s="11"/>
      <c r="B179" s="16" t="s">
        <v>348</v>
      </c>
      <c r="C179" s="11" t="s">
        <v>93</v>
      </c>
      <c r="D179" s="11" t="s">
        <v>93</v>
      </c>
      <c r="E179" s="16" t="s">
        <v>307</v>
      </c>
      <c r="F179" s="16">
        <v>2</v>
      </c>
      <c r="G179" s="16">
        <v>0</v>
      </c>
      <c r="H179" s="16">
        <v>2</v>
      </c>
      <c r="I179" s="16">
        <v>0</v>
      </c>
      <c r="J179" s="16">
        <v>2</v>
      </c>
      <c r="K179" s="16">
        <v>0</v>
      </c>
      <c r="L179" s="17">
        <v>0</v>
      </c>
      <c r="M179" s="11"/>
      <c r="N179" s="20">
        <v>0.5</v>
      </c>
      <c r="O179" s="12" t="s">
        <v>333</v>
      </c>
      <c r="P179" s="12" t="s">
        <v>324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x14ac:dyDescent="0.3">
      <c r="A180" s="11"/>
      <c r="B180" s="16" t="s">
        <v>348</v>
      </c>
      <c r="C180" s="11" t="s">
        <v>47</v>
      </c>
      <c r="D180" s="11" t="s">
        <v>47</v>
      </c>
      <c r="E180" s="16" t="s">
        <v>307</v>
      </c>
      <c r="F180" s="16">
        <v>7</v>
      </c>
      <c r="G180" s="16">
        <v>0</v>
      </c>
      <c r="H180" s="16">
        <v>3</v>
      </c>
      <c r="I180" s="16">
        <v>0</v>
      </c>
      <c r="J180" s="16">
        <v>6</v>
      </c>
      <c r="K180" s="16">
        <v>0</v>
      </c>
      <c r="L180" s="17">
        <v>0</v>
      </c>
      <c r="M180" s="11"/>
      <c r="N180" s="20">
        <v>0.5</v>
      </c>
      <c r="O180" s="12" t="s">
        <v>333</v>
      </c>
      <c r="P180" s="12" t="s">
        <v>324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x14ac:dyDescent="0.3">
      <c r="A181" s="11"/>
      <c r="B181" s="16" t="s">
        <v>348</v>
      </c>
      <c r="C181" s="11" t="s">
        <v>8</v>
      </c>
      <c r="D181" s="11" t="s">
        <v>8</v>
      </c>
      <c r="E181" s="16" t="s">
        <v>307</v>
      </c>
      <c r="F181" s="16">
        <v>4</v>
      </c>
      <c r="G181" s="16">
        <v>1</v>
      </c>
      <c r="H181" s="16">
        <v>0</v>
      </c>
      <c r="I181" s="16">
        <v>0</v>
      </c>
      <c r="J181" s="16">
        <v>6</v>
      </c>
      <c r="K181" s="16">
        <v>0</v>
      </c>
      <c r="L181" s="17">
        <v>0.1</v>
      </c>
      <c r="M181" s="11"/>
      <c r="N181" s="19">
        <v>0.75</v>
      </c>
      <c r="O181" s="12" t="s">
        <v>331</v>
      </c>
      <c r="P181" s="12" t="s">
        <v>324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x14ac:dyDescent="0.3">
      <c r="A182" s="11"/>
      <c r="B182" s="16" t="s">
        <v>348</v>
      </c>
      <c r="C182" s="11" t="s">
        <v>14</v>
      </c>
      <c r="D182" s="11" t="s">
        <v>14</v>
      </c>
      <c r="E182" s="16" t="s">
        <v>307</v>
      </c>
      <c r="F182" s="16">
        <v>2</v>
      </c>
      <c r="G182" s="16">
        <v>1</v>
      </c>
      <c r="H182" s="16">
        <v>0</v>
      </c>
      <c r="I182" s="16">
        <v>0</v>
      </c>
      <c r="J182" s="16">
        <v>3</v>
      </c>
      <c r="K182" s="16">
        <v>0</v>
      </c>
      <c r="L182" s="17">
        <v>0.2</v>
      </c>
      <c r="M182" s="11"/>
      <c r="N182" s="18">
        <v>1.5</v>
      </c>
      <c r="O182" s="12" t="s">
        <v>323</v>
      </c>
      <c r="P182" s="12" t="s">
        <v>324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x14ac:dyDescent="0.3">
      <c r="A183" s="11"/>
      <c r="B183" s="16" t="s">
        <v>348</v>
      </c>
      <c r="C183" s="11" t="s">
        <v>105</v>
      </c>
      <c r="D183" s="11" t="s">
        <v>105</v>
      </c>
      <c r="E183" s="16" t="s">
        <v>307</v>
      </c>
      <c r="F183" s="16">
        <v>1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7">
        <v>0</v>
      </c>
      <c r="M183" s="11"/>
      <c r="N183" s="20">
        <v>0.5</v>
      </c>
      <c r="O183" s="12" t="s">
        <v>333</v>
      </c>
      <c r="P183" s="12" t="s">
        <v>324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x14ac:dyDescent="0.3">
      <c r="A184" s="11"/>
      <c r="B184" s="16" t="s">
        <v>348</v>
      </c>
      <c r="C184" s="11" t="s">
        <v>50</v>
      </c>
      <c r="D184" s="11" t="s">
        <v>50</v>
      </c>
      <c r="E184" s="16" t="s">
        <v>307</v>
      </c>
      <c r="F184" s="16">
        <v>2</v>
      </c>
      <c r="G184" s="16">
        <v>0</v>
      </c>
      <c r="H184" s="16">
        <v>2</v>
      </c>
      <c r="I184" s="16">
        <v>0</v>
      </c>
      <c r="J184" s="16">
        <v>2</v>
      </c>
      <c r="K184" s="16">
        <v>0</v>
      </c>
      <c r="L184" s="17">
        <v>0</v>
      </c>
      <c r="M184" s="11"/>
      <c r="N184" s="20">
        <v>0.5</v>
      </c>
      <c r="O184" s="12" t="s">
        <v>333</v>
      </c>
      <c r="P184" s="12" t="s">
        <v>324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x14ac:dyDescent="0.3">
      <c r="A185" s="11"/>
      <c r="B185" s="16" t="s">
        <v>348</v>
      </c>
      <c r="C185" s="11" t="s">
        <v>385</v>
      </c>
      <c r="D185" s="11" t="s">
        <v>385</v>
      </c>
      <c r="E185" s="16" t="s">
        <v>307</v>
      </c>
      <c r="F185" s="16">
        <v>2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7">
        <v>0</v>
      </c>
      <c r="M185" s="11"/>
      <c r="N185" s="20">
        <v>0.5</v>
      </c>
      <c r="O185" s="12" t="s">
        <v>333</v>
      </c>
      <c r="P185" s="12" t="s">
        <v>324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x14ac:dyDescent="0.3">
      <c r="A186" s="11"/>
      <c r="B186" s="16" t="s">
        <v>348</v>
      </c>
      <c r="C186" s="11" t="s">
        <v>128</v>
      </c>
      <c r="D186" s="11" t="s">
        <v>128</v>
      </c>
      <c r="E186" s="16" t="s">
        <v>307</v>
      </c>
      <c r="F186" s="16">
        <v>1</v>
      </c>
      <c r="G186" s="16">
        <v>0</v>
      </c>
      <c r="H186" s="16">
        <v>3</v>
      </c>
      <c r="I186" s="16">
        <v>0</v>
      </c>
      <c r="J186" s="16">
        <v>4</v>
      </c>
      <c r="K186" s="16">
        <v>0</v>
      </c>
      <c r="L186" s="17">
        <v>0</v>
      </c>
      <c r="M186" s="11"/>
      <c r="N186" s="20">
        <v>0.5</v>
      </c>
      <c r="O186" s="12" t="s">
        <v>333</v>
      </c>
      <c r="P186" s="12" t="s">
        <v>324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x14ac:dyDescent="0.3">
      <c r="A187" s="11"/>
      <c r="B187" s="11"/>
      <c r="C187" s="11" t="s">
        <v>74</v>
      </c>
      <c r="D187" s="11" t="s">
        <v>74</v>
      </c>
      <c r="E187" s="16" t="s">
        <v>307</v>
      </c>
      <c r="F187" s="16">
        <v>0</v>
      </c>
      <c r="G187" s="16">
        <v>0</v>
      </c>
      <c r="H187" s="16">
        <v>0</v>
      </c>
      <c r="I187" s="16">
        <v>0</v>
      </c>
      <c r="J187" s="16">
        <v>2</v>
      </c>
      <c r="K187" s="16">
        <v>0</v>
      </c>
      <c r="L187" s="17">
        <v>0</v>
      </c>
      <c r="M187" s="11"/>
      <c r="N187" s="20">
        <v>0.5</v>
      </c>
      <c r="O187" s="12" t="s">
        <v>333</v>
      </c>
      <c r="P187" s="12" t="s">
        <v>324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x14ac:dyDescent="0.3">
      <c r="A188" s="11"/>
      <c r="B188" s="16" t="s">
        <v>348</v>
      </c>
      <c r="C188" s="11" t="s">
        <v>31</v>
      </c>
      <c r="D188" s="11" t="s">
        <v>31</v>
      </c>
      <c r="E188" s="16" t="s">
        <v>307</v>
      </c>
      <c r="F188" s="16">
        <v>8</v>
      </c>
      <c r="G188" s="16">
        <v>3</v>
      </c>
      <c r="H188" s="16">
        <v>3</v>
      </c>
      <c r="I188" s="16">
        <v>2</v>
      </c>
      <c r="J188" s="16">
        <v>10</v>
      </c>
      <c r="K188" s="16">
        <v>1</v>
      </c>
      <c r="L188" s="17">
        <v>0.28570000000000001</v>
      </c>
      <c r="M188" s="11"/>
      <c r="N188" s="18">
        <v>1.5</v>
      </c>
      <c r="O188" s="12" t="s">
        <v>323</v>
      </c>
      <c r="P188" s="12" t="s">
        <v>324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x14ac:dyDescent="0.3">
      <c r="A189" s="11"/>
      <c r="B189" s="11"/>
      <c r="C189" s="11" t="s">
        <v>121</v>
      </c>
      <c r="D189" s="11" t="s">
        <v>121</v>
      </c>
      <c r="E189" s="16" t="s">
        <v>307</v>
      </c>
      <c r="F189" s="16">
        <v>0</v>
      </c>
      <c r="G189" s="16">
        <v>0</v>
      </c>
      <c r="H189" s="16">
        <v>0</v>
      </c>
      <c r="I189" s="16">
        <v>0</v>
      </c>
      <c r="J189" s="16">
        <v>4</v>
      </c>
      <c r="K189" s="16">
        <v>0</v>
      </c>
      <c r="L189" s="17">
        <v>0</v>
      </c>
      <c r="M189" s="11"/>
      <c r="N189" s="20">
        <v>0.5</v>
      </c>
      <c r="O189" s="12" t="s">
        <v>333</v>
      </c>
      <c r="P189" s="12" t="s">
        <v>324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x14ac:dyDescent="0.3">
      <c r="A190" s="11"/>
      <c r="B190" s="16" t="s">
        <v>348</v>
      </c>
      <c r="C190" s="11" t="s">
        <v>46</v>
      </c>
      <c r="D190" s="11" t="s">
        <v>46</v>
      </c>
      <c r="E190" s="16" t="s">
        <v>307</v>
      </c>
      <c r="F190" s="16">
        <v>5</v>
      </c>
      <c r="G190" s="16">
        <v>0</v>
      </c>
      <c r="H190" s="16">
        <v>3</v>
      </c>
      <c r="I190" s="16">
        <v>0</v>
      </c>
      <c r="J190" s="16">
        <v>2</v>
      </c>
      <c r="K190" s="16">
        <v>0</v>
      </c>
      <c r="L190" s="17">
        <v>0</v>
      </c>
      <c r="M190" s="11"/>
      <c r="N190" s="20">
        <v>0.5</v>
      </c>
      <c r="O190" s="12" t="s">
        <v>333</v>
      </c>
      <c r="P190" s="12" t="s">
        <v>324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x14ac:dyDescent="0.3">
      <c r="A191" s="11"/>
      <c r="B191" s="16" t="s">
        <v>348</v>
      </c>
      <c r="C191" s="11" t="s">
        <v>138</v>
      </c>
      <c r="D191" s="11" t="s">
        <v>138</v>
      </c>
      <c r="E191" s="16" t="s">
        <v>307</v>
      </c>
      <c r="F191" s="16">
        <v>5</v>
      </c>
      <c r="G191" s="16">
        <v>1</v>
      </c>
      <c r="H191" s="16">
        <v>2</v>
      </c>
      <c r="I191" s="16">
        <v>0</v>
      </c>
      <c r="J191" s="16">
        <v>0</v>
      </c>
      <c r="K191" s="16">
        <v>0</v>
      </c>
      <c r="L191" s="17">
        <v>0.1429</v>
      </c>
      <c r="M191" s="11"/>
      <c r="N191" s="18">
        <v>1.5</v>
      </c>
      <c r="O191" s="12" t="s">
        <v>323</v>
      </c>
      <c r="P191" s="12" t="s">
        <v>324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x14ac:dyDescent="0.3">
      <c r="A192" s="11"/>
      <c r="B192" s="11"/>
      <c r="C192" s="11" t="s">
        <v>112</v>
      </c>
      <c r="D192" s="11" t="s">
        <v>112</v>
      </c>
      <c r="E192" s="16" t="s">
        <v>307</v>
      </c>
      <c r="F192" s="16">
        <v>0</v>
      </c>
      <c r="G192" s="16">
        <v>0</v>
      </c>
      <c r="H192" s="16">
        <v>0</v>
      </c>
      <c r="I192" s="16">
        <v>0</v>
      </c>
      <c r="J192" s="16">
        <v>3</v>
      </c>
      <c r="K192" s="16">
        <v>0</v>
      </c>
      <c r="L192" s="17">
        <v>0</v>
      </c>
      <c r="M192" s="11"/>
      <c r="N192" s="20">
        <v>0.5</v>
      </c>
      <c r="O192" s="12" t="s">
        <v>333</v>
      </c>
      <c r="P192" s="12" t="s">
        <v>324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x14ac:dyDescent="0.3">
      <c r="A193" s="11"/>
      <c r="B193" s="11"/>
      <c r="C193" s="11" t="s">
        <v>386</v>
      </c>
      <c r="D193" s="11" t="s">
        <v>386</v>
      </c>
      <c r="E193" s="16" t="s">
        <v>307</v>
      </c>
      <c r="F193" s="16">
        <v>0</v>
      </c>
      <c r="G193" s="16">
        <v>0</v>
      </c>
      <c r="H193" s="16">
        <v>0</v>
      </c>
      <c r="I193" s="16">
        <v>0</v>
      </c>
      <c r="J193" s="16">
        <v>3</v>
      </c>
      <c r="K193" s="16">
        <v>0</v>
      </c>
      <c r="L193" s="17">
        <v>0</v>
      </c>
      <c r="M193" s="11"/>
      <c r="N193" s="20">
        <v>0.5</v>
      </c>
      <c r="O193" s="12" t="s">
        <v>333</v>
      </c>
      <c r="P193" s="12" t="s">
        <v>324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x14ac:dyDescent="0.3">
      <c r="A194" s="11"/>
      <c r="B194" s="16" t="s">
        <v>348</v>
      </c>
      <c r="C194" s="11" t="s">
        <v>18</v>
      </c>
      <c r="D194" s="11" t="s">
        <v>18</v>
      </c>
      <c r="E194" s="16" t="s">
        <v>307</v>
      </c>
      <c r="F194" s="16">
        <v>2</v>
      </c>
      <c r="G194" s="16">
        <v>0</v>
      </c>
      <c r="H194" s="16">
        <v>2</v>
      </c>
      <c r="I194" s="16">
        <v>0</v>
      </c>
      <c r="J194" s="16">
        <v>0</v>
      </c>
      <c r="K194" s="16">
        <v>0</v>
      </c>
      <c r="L194" s="17">
        <v>0</v>
      </c>
      <c r="M194" s="11"/>
      <c r="N194" s="20">
        <v>0.5</v>
      </c>
      <c r="O194" s="12" t="s">
        <v>333</v>
      </c>
      <c r="P194" s="12" t="s">
        <v>324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x14ac:dyDescent="0.3">
      <c r="A195" s="11"/>
      <c r="B195" s="16" t="s">
        <v>348</v>
      </c>
      <c r="C195" s="11" t="s">
        <v>387</v>
      </c>
      <c r="D195" s="11" t="s">
        <v>387</v>
      </c>
      <c r="E195" s="16" t="s">
        <v>307</v>
      </c>
      <c r="F195" s="16">
        <v>3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7">
        <v>0</v>
      </c>
      <c r="M195" s="11"/>
      <c r="N195" s="20">
        <v>0.5</v>
      </c>
      <c r="O195" s="12" t="s">
        <v>333</v>
      </c>
      <c r="P195" s="12" t="s">
        <v>324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x14ac:dyDescent="0.3">
      <c r="A196" s="11"/>
      <c r="B196" s="16" t="s">
        <v>348</v>
      </c>
      <c r="C196" s="11" t="s">
        <v>95</v>
      </c>
      <c r="D196" s="11" t="s">
        <v>95</v>
      </c>
      <c r="E196" s="16" t="s">
        <v>307</v>
      </c>
      <c r="F196" s="16">
        <v>3</v>
      </c>
      <c r="G196" s="16">
        <v>0</v>
      </c>
      <c r="H196" s="16">
        <v>0</v>
      </c>
      <c r="I196" s="16">
        <v>0</v>
      </c>
      <c r="J196" s="16">
        <v>1</v>
      </c>
      <c r="K196" s="16">
        <v>0</v>
      </c>
      <c r="L196" s="17">
        <v>0</v>
      </c>
      <c r="M196" s="11"/>
      <c r="N196" s="20">
        <v>0.5</v>
      </c>
      <c r="O196" s="12" t="s">
        <v>333</v>
      </c>
      <c r="P196" s="12" t="s">
        <v>324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x14ac:dyDescent="0.3">
      <c r="A197" s="11"/>
      <c r="B197" s="16" t="s">
        <v>348</v>
      </c>
      <c r="C197" s="27" t="s">
        <v>9</v>
      </c>
      <c r="D197" s="11" t="s">
        <v>9</v>
      </c>
      <c r="E197" s="16" t="s">
        <v>307</v>
      </c>
      <c r="F197" s="28">
        <v>7</v>
      </c>
      <c r="G197" s="16">
        <v>0</v>
      </c>
      <c r="H197" s="16">
        <v>3</v>
      </c>
      <c r="I197" s="16">
        <v>0</v>
      </c>
      <c r="J197" s="16">
        <v>17</v>
      </c>
      <c r="K197" s="16">
        <v>1</v>
      </c>
      <c r="L197" s="17">
        <v>3.6999999999999998E-2</v>
      </c>
      <c r="M197" s="11"/>
      <c r="N197" s="19">
        <v>0.75</v>
      </c>
      <c r="O197" s="12" t="s">
        <v>331</v>
      </c>
      <c r="P197" s="12" t="s">
        <v>324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x14ac:dyDescent="0.3">
      <c r="A198" s="11"/>
      <c r="B198" s="16" t="s">
        <v>348</v>
      </c>
      <c r="C198" s="11" t="s">
        <v>33</v>
      </c>
      <c r="D198" s="11" t="s">
        <v>33</v>
      </c>
      <c r="E198" s="16" t="s">
        <v>307</v>
      </c>
      <c r="F198" s="16">
        <v>16</v>
      </c>
      <c r="G198" s="16">
        <v>1</v>
      </c>
      <c r="H198" s="16">
        <v>1</v>
      </c>
      <c r="I198" s="16">
        <v>0</v>
      </c>
      <c r="J198" s="16">
        <v>0</v>
      </c>
      <c r="K198" s="16">
        <v>0</v>
      </c>
      <c r="L198" s="17">
        <v>5.8799999999999998E-2</v>
      </c>
      <c r="M198" s="11"/>
      <c r="N198" s="19">
        <v>0.75</v>
      </c>
      <c r="O198" s="12" t="s">
        <v>331</v>
      </c>
      <c r="P198" s="12" t="s">
        <v>324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x14ac:dyDescent="0.3">
      <c r="A199" s="11"/>
      <c r="B199" s="16" t="s">
        <v>348</v>
      </c>
      <c r="C199" s="11" t="s">
        <v>67</v>
      </c>
      <c r="D199" s="11" t="s">
        <v>67</v>
      </c>
      <c r="E199" s="16" t="s">
        <v>307</v>
      </c>
      <c r="F199" s="16">
        <v>7</v>
      </c>
      <c r="G199" s="16">
        <v>0</v>
      </c>
      <c r="H199" s="16">
        <v>1</v>
      </c>
      <c r="I199" s="16">
        <v>0</v>
      </c>
      <c r="J199" s="16">
        <v>1</v>
      </c>
      <c r="K199" s="16">
        <v>1</v>
      </c>
      <c r="L199" s="17">
        <v>0.1111</v>
      </c>
      <c r="M199" s="11"/>
      <c r="N199" s="18">
        <v>1.5</v>
      </c>
      <c r="O199" s="12" t="s">
        <v>323</v>
      </c>
      <c r="P199" s="12" t="s">
        <v>324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x14ac:dyDescent="0.3">
      <c r="A200" s="11"/>
      <c r="B200" s="16" t="s">
        <v>348</v>
      </c>
      <c r="C200" s="27" t="s">
        <v>100</v>
      </c>
      <c r="D200" s="11" t="s">
        <v>100</v>
      </c>
      <c r="E200" s="16" t="s">
        <v>307</v>
      </c>
      <c r="F200" s="28">
        <v>4</v>
      </c>
      <c r="G200" s="16">
        <v>0</v>
      </c>
      <c r="H200" s="16">
        <v>1</v>
      </c>
      <c r="I200" s="16">
        <v>0</v>
      </c>
      <c r="J200" s="16">
        <v>1</v>
      </c>
      <c r="K200" s="16">
        <v>0</v>
      </c>
      <c r="L200" s="17">
        <v>0</v>
      </c>
      <c r="M200" s="11"/>
      <c r="N200" s="20">
        <v>0.5</v>
      </c>
      <c r="O200" s="12" t="s">
        <v>333</v>
      </c>
      <c r="P200" s="12" t="s">
        <v>324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x14ac:dyDescent="0.3">
      <c r="A201" s="11"/>
      <c r="B201" s="16" t="s">
        <v>348</v>
      </c>
      <c r="C201" s="11" t="s">
        <v>388</v>
      </c>
      <c r="D201" s="11" t="s">
        <v>388</v>
      </c>
      <c r="E201" s="16" t="s">
        <v>307</v>
      </c>
      <c r="F201" s="16">
        <v>2</v>
      </c>
      <c r="G201" s="16">
        <v>0</v>
      </c>
      <c r="H201" s="16">
        <v>2</v>
      </c>
      <c r="I201" s="16">
        <v>0</v>
      </c>
      <c r="J201" s="16">
        <v>0</v>
      </c>
      <c r="K201" s="16">
        <v>0</v>
      </c>
      <c r="L201" s="17">
        <v>0</v>
      </c>
      <c r="M201" s="11"/>
      <c r="N201" s="20">
        <v>0.5</v>
      </c>
      <c r="O201" s="12" t="s">
        <v>333</v>
      </c>
      <c r="P201" s="12" t="s">
        <v>324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x14ac:dyDescent="0.3">
      <c r="A202" s="11"/>
      <c r="B202" s="16" t="s">
        <v>348</v>
      </c>
      <c r="C202" s="11" t="s">
        <v>389</v>
      </c>
      <c r="D202" s="11" t="s">
        <v>389</v>
      </c>
      <c r="E202" s="16" t="s">
        <v>307</v>
      </c>
      <c r="F202" s="16">
        <v>8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7">
        <v>0</v>
      </c>
      <c r="M202" s="11"/>
      <c r="N202" s="20">
        <v>0.5</v>
      </c>
      <c r="O202" s="12" t="s">
        <v>333</v>
      </c>
      <c r="P202" s="12" t="s">
        <v>324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x14ac:dyDescent="0.3">
      <c r="A203" s="11"/>
      <c r="B203" s="16" t="s">
        <v>348</v>
      </c>
      <c r="C203" s="11" t="s">
        <v>66</v>
      </c>
      <c r="D203" s="11" t="s">
        <v>66</v>
      </c>
      <c r="E203" s="16" t="s">
        <v>307</v>
      </c>
      <c r="F203" s="16">
        <v>6</v>
      </c>
      <c r="G203" s="16">
        <v>0</v>
      </c>
      <c r="H203" s="16">
        <v>2</v>
      </c>
      <c r="I203" s="16">
        <v>0</v>
      </c>
      <c r="J203" s="16">
        <v>2</v>
      </c>
      <c r="K203" s="16">
        <v>0</v>
      </c>
      <c r="L203" s="17">
        <v>0</v>
      </c>
      <c r="M203" s="11"/>
      <c r="N203" s="20">
        <v>0.5</v>
      </c>
      <c r="O203" s="12" t="s">
        <v>333</v>
      </c>
      <c r="P203" s="12" t="s">
        <v>324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x14ac:dyDescent="0.3">
      <c r="A204" s="11"/>
      <c r="B204" s="16" t="s">
        <v>348</v>
      </c>
      <c r="C204" s="11" t="s">
        <v>132</v>
      </c>
      <c r="D204" s="11" t="s">
        <v>132</v>
      </c>
      <c r="E204" s="16" t="s">
        <v>307</v>
      </c>
      <c r="F204" s="16">
        <v>8</v>
      </c>
      <c r="G204" s="16">
        <v>0</v>
      </c>
      <c r="H204" s="16">
        <v>0</v>
      </c>
      <c r="I204" s="16">
        <v>0</v>
      </c>
      <c r="J204" s="16">
        <v>2</v>
      </c>
      <c r="K204" s="16">
        <v>0</v>
      </c>
      <c r="L204" s="17">
        <v>0</v>
      </c>
      <c r="M204" s="11"/>
      <c r="N204" s="20">
        <v>0.5</v>
      </c>
      <c r="O204" s="12" t="s">
        <v>333</v>
      </c>
      <c r="P204" s="12" t="s">
        <v>324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x14ac:dyDescent="0.3">
      <c r="A205" s="11"/>
      <c r="B205" s="11"/>
      <c r="C205" s="11" t="s">
        <v>390</v>
      </c>
      <c r="D205" s="11" t="s">
        <v>390</v>
      </c>
      <c r="E205" s="16" t="s">
        <v>307</v>
      </c>
      <c r="F205" s="16">
        <v>0</v>
      </c>
      <c r="G205" s="16">
        <v>0</v>
      </c>
      <c r="H205" s="16">
        <v>0</v>
      </c>
      <c r="I205" s="16">
        <v>0</v>
      </c>
      <c r="J205" s="16">
        <v>2</v>
      </c>
      <c r="K205" s="16">
        <v>0</v>
      </c>
      <c r="L205" s="17">
        <v>0</v>
      </c>
      <c r="M205" s="11"/>
      <c r="N205" s="20">
        <v>0.5</v>
      </c>
      <c r="O205" s="12" t="s">
        <v>333</v>
      </c>
      <c r="P205" s="12" t="s">
        <v>324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x14ac:dyDescent="0.3">
      <c r="A206" s="11"/>
      <c r="B206" s="16" t="s">
        <v>348</v>
      </c>
      <c r="C206" s="11" t="s">
        <v>68</v>
      </c>
      <c r="D206" s="11" t="s">
        <v>68</v>
      </c>
      <c r="E206" s="16" t="s">
        <v>307</v>
      </c>
      <c r="F206" s="16">
        <v>4</v>
      </c>
      <c r="G206" s="16">
        <v>0</v>
      </c>
      <c r="H206" s="16">
        <v>3</v>
      </c>
      <c r="I206" s="16">
        <v>0</v>
      </c>
      <c r="J206" s="16">
        <v>3</v>
      </c>
      <c r="K206" s="16">
        <v>0</v>
      </c>
      <c r="L206" s="17">
        <v>0</v>
      </c>
      <c r="M206" s="11"/>
      <c r="N206" s="20">
        <v>0.5</v>
      </c>
      <c r="O206" s="12" t="s">
        <v>333</v>
      </c>
      <c r="P206" s="12" t="s">
        <v>324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x14ac:dyDescent="0.3">
      <c r="A207" s="11"/>
      <c r="B207" s="16" t="s">
        <v>348</v>
      </c>
      <c r="C207" s="11" t="s">
        <v>21</v>
      </c>
      <c r="D207" s="11" t="s">
        <v>21</v>
      </c>
      <c r="E207" s="16" t="s">
        <v>307</v>
      </c>
      <c r="F207" s="16">
        <v>4</v>
      </c>
      <c r="G207" s="16">
        <v>0</v>
      </c>
      <c r="H207" s="16">
        <v>1</v>
      </c>
      <c r="I207" s="16">
        <v>0</v>
      </c>
      <c r="J207" s="16">
        <v>0</v>
      </c>
      <c r="K207" s="16">
        <v>0</v>
      </c>
      <c r="L207" s="17">
        <v>0</v>
      </c>
      <c r="M207" s="11"/>
      <c r="N207" s="20">
        <v>0.5</v>
      </c>
      <c r="O207" s="12" t="s">
        <v>333</v>
      </c>
      <c r="P207" s="12" t="s">
        <v>324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x14ac:dyDescent="0.3">
      <c r="A208" s="11"/>
      <c r="B208" s="16" t="s">
        <v>348</v>
      </c>
      <c r="C208" s="11" t="s">
        <v>19</v>
      </c>
      <c r="D208" s="11" t="s">
        <v>19</v>
      </c>
      <c r="E208" s="16" t="s">
        <v>307</v>
      </c>
      <c r="F208" s="16">
        <v>2</v>
      </c>
      <c r="G208" s="16">
        <v>0</v>
      </c>
      <c r="H208" s="16">
        <v>2</v>
      </c>
      <c r="I208" s="16">
        <v>0</v>
      </c>
      <c r="J208" s="16">
        <v>2</v>
      </c>
      <c r="K208" s="16">
        <v>0</v>
      </c>
      <c r="L208" s="17">
        <v>0</v>
      </c>
      <c r="M208" s="11"/>
      <c r="N208" s="20">
        <v>0.5</v>
      </c>
      <c r="O208" s="12" t="s">
        <v>333</v>
      </c>
      <c r="P208" s="12" t="s">
        <v>324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x14ac:dyDescent="0.3">
      <c r="A209" s="11"/>
      <c r="B209" s="16" t="s">
        <v>348</v>
      </c>
      <c r="C209" s="11" t="s">
        <v>53</v>
      </c>
      <c r="D209" s="11" t="s">
        <v>53</v>
      </c>
      <c r="E209" s="16" t="s">
        <v>307</v>
      </c>
      <c r="F209" s="16">
        <v>14</v>
      </c>
      <c r="G209" s="16">
        <v>0</v>
      </c>
      <c r="H209" s="16">
        <v>3</v>
      </c>
      <c r="I209" s="16">
        <v>2</v>
      </c>
      <c r="J209" s="16">
        <v>5</v>
      </c>
      <c r="K209" s="16">
        <v>0</v>
      </c>
      <c r="L209" s="17">
        <v>9.0899999999999995E-2</v>
      </c>
      <c r="M209" s="11"/>
      <c r="N209" s="19">
        <v>0.75</v>
      </c>
      <c r="O209" s="12" t="s">
        <v>331</v>
      </c>
      <c r="P209" s="12" t="s">
        <v>324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x14ac:dyDescent="0.3">
      <c r="A210" s="11"/>
      <c r="B210" s="16" t="s">
        <v>348</v>
      </c>
      <c r="C210" s="11" t="s">
        <v>51</v>
      </c>
      <c r="D210" s="11" t="s">
        <v>51</v>
      </c>
      <c r="E210" s="16" t="s">
        <v>307</v>
      </c>
      <c r="F210" s="16">
        <v>18</v>
      </c>
      <c r="G210" s="16">
        <v>1</v>
      </c>
      <c r="H210" s="16">
        <v>3</v>
      </c>
      <c r="I210" s="16">
        <v>0</v>
      </c>
      <c r="J210" s="16">
        <v>6</v>
      </c>
      <c r="K210" s="16">
        <v>0</v>
      </c>
      <c r="L210" s="17">
        <v>3.6999999999999998E-2</v>
      </c>
      <c r="M210" s="11"/>
      <c r="N210" s="19">
        <v>0.75</v>
      </c>
      <c r="O210" s="12" t="s">
        <v>331</v>
      </c>
      <c r="P210" s="12" t="s">
        <v>324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x14ac:dyDescent="0.3">
      <c r="A211" s="11"/>
      <c r="B211" s="16" t="s">
        <v>348</v>
      </c>
      <c r="C211" s="11" t="s">
        <v>55</v>
      </c>
      <c r="D211" s="11" t="s">
        <v>55</v>
      </c>
      <c r="E211" s="16" t="s">
        <v>307</v>
      </c>
      <c r="F211" s="16">
        <v>11</v>
      </c>
      <c r="G211" s="16">
        <v>1</v>
      </c>
      <c r="H211" s="16">
        <v>3</v>
      </c>
      <c r="I211" s="16">
        <v>0</v>
      </c>
      <c r="J211" s="16">
        <v>5</v>
      </c>
      <c r="K211" s="16">
        <v>1</v>
      </c>
      <c r="L211" s="17">
        <v>0.1053</v>
      </c>
      <c r="M211" s="11"/>
      <c r="N211" s="18">
        <v>1.5</v>
      </c>
      <c r="O211" s="12" t="s">
        <v>323</v>
      </c>
      <c r="P211" s="12" t="s">
        <v>324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x14ac:dyDescent="0.3">
      <c r="A212" s="11"/>
      <c r="B212" s="11"/>
      <c r="C212" s="11" t="s">
        <v>391</v>
      </c>
      <c r="D212" s="11" t="s">
        <v>391</v>
      </c>
      <c r="E212" s="16" t="s">
        <v>307</v>
      </c>
      <c r="F212" s="16">
        <v>0</v>
      </c>
      <c r="G212" s="16">
        <v>0</v>
      </c>
      <c r="H212" s="16">
        <v>0</v>
      </c>
      <c r="I212" s="16">
        <v>0</v>
      </c>
      <c r="J212" s="16">
        <v>2</v>
      </c>
      <c r="K212" s="16">
        <v>0</v>
      </c>
      <c r="L212" s="17">
        <v>0</v>
      </c>
      <c r="M212" s="11"/>
      <c r="N212" s="20">
        <v>0.5</v>
      </c>
      <c r="O212" s="12" t="s">
        <v>333</v>
      </c>
      <c r="P212" s="12" t="s">
        <v>324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x14ac:dyDescent="0.3">
      <c r="A213" s="11"/>
      <c r="B213" s="11"/>
      <c r="C213" s="11" t="s">
        <v>91</v>
      </c>
      <c r="D213" s="11" t="s">
        <v>91</v>
      </c>
      <c r="E213" s="16" t="s">
        <v>307</v>
      </c>
      <c r="F213" s="16">
        <v>0</v>
      </c>
      <c r="G213" s="16">
        <v>0</v>
      </c>
      <c r="H213" s="16">
        <v>0</v>
      </c>
      <c r="I213" s="16">
        <v>0</v>
      </c>
      <c r="J213" s="16">
        <v>2</v>
      </c>
      <c r="K213" s="16">
        <v>0</v>
      </c>
      <c r="L213" s="17">
        <v>0</v>
      </c>
      <c r="M213" s="11"/>
      <c r="N213" s="20">
        <v>0.5</v>
      </c>
      <c r="O213" s="12" t="s">
        <v>333</v>
      </c>
      <c r="P213" s="12" t="s">
        <v>324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x14ac:dyDescent="0.3">
      <c r="A214" s="11"/>
      <c r="B214" s="16" t="s">
        <v>348</v>
      </c>
      <c r="C214" s="11" t="s">
        <v>26</v>
      </c>
      <c r="D214" s="11" t="s">
        <v>26</v>
      </c>
      <c r="E214" s="16" t="s">
        <v>307</v>
      </c>
      <c r="F214" s="16">
        <v>4</v>
      </c>
      <c r="G214" s="16">
        <v>0</v>
      </c>
      <c r="H214" s="16">
        <v>3</v>
      </c>
      <c r="I214" s="16">
        <v>1</v>
      </c>
      <c r="J214" s="16">
        <v>3</v>
      </c>
      <c r="K214" s="16">
        <v>0</v>
      </c>
      <c r="L214" s="17">
        <v>0.1</v>
      </c>
      <c r="M214" s="11"/>
      <c r="N214" s="19">
        <v>0.75</v>
      </c>
      <c r="O214" s="12" t="s">
        <v>331</v>
      </c>
      <c r="P214" s="12" t="s">
        <v>324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x14ac:dyDescent="0.3">
      <c r="A215" s="11"/>
      <c r="B215" s="11"/>
      <c r="C215" s="11" t="s">
        <v>392</v>
      </c>
      <c r="D215" s="11" t="s">
        <v>392</v>
      </c>
      <c r="E215" s="16" t="s">
        <v>307</v>
      </c>
      <c r="F215" s="16">
        <v>0</v>
      </c>
      <c r="G215" s="16">
        <v>0</v>
      </c>
      <c r="H215" s="16">
        <v>1</v>
      </c>
      <c r="I215" s="16">
        <v>0</v>
      </c>
      <c r="J215" s="16">
        <v>1</v>
      </c>
      <c r="K215" s="16">
        <v>1</v>
      </c>
      <c r="L215" s="17">
        <v>0.5</v>
      </c>
      <c r="M215" s="11"/>
      <c r="N215" s="14">
        <v>2.5</v>
      </c>
      <c r="O215" s="12" t="s">
        <v>329</v>
      </c>
      <c r="P215" s="12" t="s">
        <v>324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x14ac:dyDescent="0.3">
      <c r="A216" s="11"/>
      <c r="B216" s="16" t="s">
        <v>349</v>
      </c>
      <c r="C216" s="11" t="s">
        <v>199</v>
      </c>
      <c r="D216" s="11" t="s">
        <v>199</v>
      </c>
      <c r="E216" s="16" t="s">
        <v>307</v>
      </c>
      <c r="F216" s="16">
        <v>5</v>
      </c>
      <c r="G216" s="16">
        <v>0</v>
      </c>
      <c r="H216" s="16">
        <v>2</v>
      </c>
      <c r="I216" s="16">
        <v>0</v>
      </c>
      <c r="J216" s="16">
        <v>1</v>
      </c>
      <c r="K216" s="16">
        <v>0</v>
      </c>
      <c r="L216" s="17">
        <v>0</v>
      </c>
      <c r="M216" s="11"/>
      <c r="N216" s="20">
        <v>0.5</v>
      </c>
      <c r="O216" s="12" t="s">
        <v>333</v>
      </c>
      <c r="P216" s="12" t="s">
        <v>324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x14ac:dyDescent="0.3">
      <c r="A217" s="11"/>
      <c r="B217" s="11"/>
      <c r="C217" s="11" t="s">
        <v>193</v>
      </c>
      <c r="D217" s="11" t="s">
        <v>193</v>
      </c>
      <c r="E217" s="16" t="s">
        <v>307</v>
      </c>
      <c r="F217" s="16">
        <v>0</v>
      </c>
      <c r="G217" s="16">
        <v>0</v>
      </c>
      <c r="H217" s="16">
        <v>2</v>
      </c>
      <c r="I217" s="16">
        <v>0</v>
      </c>
      <c r="J217" s="16">
        <v>0</v>
      </c>
      <c r="K217" s="16">
        <v>0</v>
      </c>
      <c r="L217" s="17">
        <v>0</v>
      </c>
      <c r="M217" s="11"/>
      <c r="N217" s="20">
        <v>0.5</v>
      </c>
      <c r="O217" s="12" t="s">
        <v>333</v>
      </c>
      <c r="P217" s="12" t="s">
        <v>324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x14ac:dyDescent="0.3">
      <c r="A218" s="11"/>
      <c r="B218" s="16" t="s">
        <v>349</v>
      </c>
      <c r="C218" s="11" t="s">
        <v>393</v>
      </c>
      <c r="D218" s="11" t="s">
        <v>393</v>
      </c>
      <c r="E218" s="16" t="s">
        <v>307</v>
      </c>
      <c r="F218" s="16">
        <v>8</v>
      </c>
      <c r="G218" s="16">
        <v>3</v>
      </c>
      <c r="H218" s="16">
        <v>3</v>
      </c>
      <c r="I218" s="16">
        <v>0</v>
      </c>
      <c r="J218" s="16">
        <v>0</v>
      </c>
      <c r="K218" s="16">
        <v>0</v>
      </c>
      <c r="L218" s="17">
        <v>0.2727</v>
      </c>
      <c r="M218" s="11"/>
      <c r="N218" s="18">
        <v>1.5</v>
      </c>
      <c r="O218" s="12" t="s">
        <v>323</v>
      </c>
      <c r="P218" s="12" t="s">
        <v>324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x14ac:dyDescent="0.3">
      <c r="A219" s="11"/>
      <c r="B219" s="16" t="s">
        <v>349</v>
      </c>
      <c r="C219" s="11" t="s">
        <v>177</v>
      </c>
      <c r="D219" s="11" t="s">
        <v>177</v>
      </c>
      <c r="E219" s="16" t="s">
        <v>307</v>
      </c>
      <c r="F219" s="16">
        <v>2</v>
      </c>
      <c r="G219" s="16">
        <v>0</v>
      </c>
      <c r="H219" s="16">
        <v>3</v>
      </c>
      <c r="I219" s="16">
        <v>0</v>
      </c>
      <c r="J219" s="16">
        <v>3</v>
      </c>
      <c r="K219" s="16">
        <v>0</v>
      </c>
      <c r="L219" s="17">
        <v>0</v>
      </c>
      <c r="M219" s="11"/>
      <c r="N219" s="20">
        <v>0.5</v>
      </c>
      <c r="O219" s="12" t="s">
        <v>333</v>
      </c>
      <c r="P219" s="12" t="s">
        <v>324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x14ac:dyDescent="0.3">
      <c r="A220" s="11"/>
      <c r="B220" s="16" t="s">
        <v>349</v>
      </c>
      <c r="C220" s="11" t="s">
        <v>196</v>
      </c>
      <c r="D220" s="11" t="s">
        <v>196</v>
      </c>
      <c r="E220" s="16" t="s">
        <v>307</v>
      </c>
      <c r="F220" s="16">
        <v>3</v>
      </c>
      <c r="G220" s="16">
        <v>1</v>
      </c>
      <c r="H220" s="16">
        <v>1</v>
      </c>
      <c r="I220" s="16">
        <v>0</v>
      </c>
      <c r="J220" s="16">
        <v>0</v>
      </c>
      <c r="K220" s="16">
        <v>0</v>
      </c>
      <c r="L220" s="17">
        <v>0.25</v>
      </c>
      <c r="M220" s="11"/>
      <c r="N220" s="18">
        <v>1.5</v>
      </c>
      <c r="O220" s="12" t="s">
        <v>323</v>
      </c>
      <c r="P220" s="12" t="s">
        <v>324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x14ac:dyDescent="0.3">
      <c r="A221" s="11"/>
      <c r="B221" s="16" t="s">
        <v>349</v>
      </c>
      <c r="C221" s="11" t="s">
        <v>195</v>
      </c>
      <c r="D221" s="11" t="s">
        <v>195</v>
      </c>
      <c r="E221" s="16" t="s">
        <v>307</v>
      </c>
      <c r="F221" s="16">
        <v>13</v>
      </c>
      <c r="G221" s="16">
        <v>0</v>
      </c>
      <c r="H221" s="16">
        <v>3</v>
      </c>
      <c r="I221" s="16">
        <v>0</v>
      </c>
      <c r="J221" s="16">
        <v>6</v>
      </c>
      <c r="K221" s="16">
        <v>0</v>
      </c>
      <c r="L221" s="17">
        <v>0</v>
      </c>
      <c r="M221" s="11"/>
      <c r="N221" s="20">
        <v>0.5</v>
      </c>
      <c r="O221" s="12" t="s">
        <v>333</v>
      </c>
      <c r="P221" s="12" t="s">
        <v>324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x14ac:dyDescent="0.3">
      <c r="A222" s="11"/>
      <c r="B222" s="16" t="s">
        <v>349</v>
      </c>
      <c r="C222" s="27" t="s">
        <v>201</v>
      </c>
      <c r="D222" s="11" t="s">
        <v>201</v>
      </c>
      <c r="E222" s="16" t="s">
        <v>307</v>
      </c>
      <c r="F222" s="28">
        <v>10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7">
        <v>0</v>
      </c>
      <c r="M222" s="11"/>
      <c r="N222" s="20">
        <v>0.5</v>
      </c>
      <c r="O222" s="12" t="s">
        <v>333</v>
      </c>
      <c r="P222" s="12" t="s">
        <v>324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x14ac:dyDescent="0.3">
      <c r="A223" s="11"/>
      <c r="B223" s="16" t="s">
        <v>349</v>
      </c>
      <c r="C223" s="27" t="s">
        <v>184</v>
      </c>
      <c r="D223" s="11" t="s">
        <v>184</v>
      </c>
      <c r="E223" s="16" t="s">
        <v>307</v>
      </c>
      <c r="F223" s="28">
        <v>6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7">
        <v>0</v>
      </c>
      <c r="M223" s="11"/>
      <c r="N223" s="20">
        <v>0.5</v>
      </c>
      <c r="O223" s="12" t="s">
        <v>333</v>
      </c>
      <c r="P223" s="12" t="s">
        <v>324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x14ac:dyDescent="0.3">
      <c r="A224" s="11"/>
      <c r="B224" s="16" t="s">
        <v>349</v>
      </c>
      <c r="C224" s="11" t="s">
        <v>394</v>
      </c>
      <c r="D224" s="11" t="s">
        <v>394</v>
      </c>
      <c r="E224" s="16" t="s">
        <v>307</v>
      </c>
      <c r="F224" s="16">
        <v>2</v>
      </c>
      <c r="G224" s="16">
        <v>0</v>
      </c>
      <c r="H224" s="16">
        <v>3</v>
      </c>
      <c r="I224" s="16">
        <v>0</v>
      </c>
      <c r="J224" s="16">
        <v>0</v>
      </c>
      <c r="K224" s="16">
        <v>0</v>
      </c>
      <c r="L224" s="17">
        <v>0</v>
      </c>
      <c r="M224" s="11"/>
      <c r="N224" s="20">
        <v>0.5</v>
      </c>
      <c r="O224" s="12" t="s">
        <v>333</v>
      </c>
      <c r="P224" s="12" t="s">
        <v>324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x14ac:dyDescent="0.3">
      <c r="A225" s="11"/>
      <c r="B225" s="11"/>
      <c r="C225" s="11" t="s">
        <v>395</v>
      </c>
      <c r="D225" s="11" t="s">
        <v>395</v>
      </c>
      <c r="E225" s="16" t="s">
        <v>307</v>
      </c>
      <c r="F225" s="16">
        <v>0</v>
      </c>
      <c r="G225" s="16">
        <v>0</v>
      </c>
      <c r="H225" s="16">
        <v>1</v>
      </c>
      <c r="I225" s="16">
        <v>0</v>
      </c>
      <c r="J225" s="16">
        <v>0</v>
      </c>
      <c r="K225" s="16">
        <v>0</v>
      </c>
      <c r="L225" s="17">
        <v>0</v>
      </c>
      <c r="M225" s="11"/>
      <c r="N225" s="20">
        <v>0.5</v>
      </c>
      <c r="O225" s="12" t="s">
        <v>333</v>
      </c>
      <c r="P225" s="12" t="s">
        <v>324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x14ac:dyDescent="0.3">
      <c r="A226" s="11"/>
      <c r="B226" s="16" t="s">
        <v>349</v>
      </c>
      <c r="C226" s="11" t="s">
        <v>185</v>
      </c>
      <c r="D226" s="11" t="s">
        <v>185</v>
      </c>
      <c r="E226" s="16" t="s">
        <v>307</v>
      </c>
      <c r="F226" s="16">
        <v>3</v>
      </c>
      <c r="G226" s="16">
        <v>0</v>
      </c>
      <c r="H226" s="16">
        <v>3</v>
      </c>
      <c r="I226" s="16">
        <v>1</v>
      </c>
      <c r="J226" s="16">
        <v>2</v>
      </c>
      <c r="K226" s="16">
        <v>0</v>
      </c>
      <c r="L226" s="17">
        <v>0.125</v>
      </c>
      <c r="M226" s="11"/>
      <c r="N226" s="18">
        <v>1.5</v>
      </c>
      <c r="O226" s="12" t="s">
        <v>323</v>
      </c>
      <c r="P226" s="12" t="s">
        <v>324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x14ac:dyDescent="0.3">
      <c r="A227" s="11"/>
      <c r="B227" s="11"/>
      <c r="C227" s="11" t="s">
        <v>172</v>
      </c>
      <c r="D227" s="11" t="s">
        <v>172</v>
      </c>
      <c r="E227" s="16" t="s">
        <v>307</v>
      </c>
      <c r="F227" s="16">
        <v>0</v>
      </c>
      <c r="G227" s="16">
        <v>0</v>
      </c>
      <c r="H227" s="16">
        <v>2</v>
      </c>
      <c r="I227" s="16">
        <v>0</v>
      </c>
      <c r="J227" s="16">
        <v>4</v>
      </c>
      <c r="K227" s="16">
        <v>0</v>
      </c>
      <c r="L227" s="17">
        <v>0</v>
      </c>
      <c r="M227" s="11"/>
      <c r="N227" s="20">
        <v>0.5</v>
      </c>
      <c r="O227" s="12" t="s">
        <v>333</v>
      </c>
      <c r="P227" s="12" t="s">
        <v>324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x14ac:dyDescent="0.3">
      <c r="A228" s="11"/>
      <c r="B228" s="16" t="s">
        <v>349</v>
      </c>
      <c r="C228" s="11" t="s">
        <v>200</v>
      </c>
      <c r="D228" s="11" t="s">
        <v>200</v>
      </c>
      <c r="E228" s="16" t="s">
        <v>307</v>
      </c>
      <c r="F228" s="16">
        <v>1</v>
      </c>
      <c r="G228" s="16">
        <v>0</v>
      </c>
      <c r="H228" s="16">
        <v>3</v>
      </c>
      <c r="I228" s="16">
        <v>1</v>
      </c>
      <c r="J228" s="16">
        <v>8</v>
      </c>
      <c r="K228" s="16">
        <v>0</v>
      </c>
      <c r="L228" s="17">
        <v>8.3299999999999999E-2</v>
      </c>
      <c r="M228" s="11"/>
      <c r="N228" s="19">
        <v>0.75</v>
      </c>
      <c r="O228" s="12" t="s">
        <v>331</v>
      </c>
      <c r="P228" s="12" t="s">
        <v>324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x14ac:dyDescent="0.3">
      <c r="A229" s="11"/>
      <c r="B229" s="16" t="s">
        <v>349</v>
      </c>
      <c r="C229" s="11" t="s">
        <v>219</v>
      </c>
      <c r="D229" s="11" t="s">
        <v>219</v>
      </c>
      <c r="E229" s="16" t="s">
        <v>307</v>
      </c>
      <c r="F229" s="16">
        <v>1</v>
      </c>
      <c r="G229" s="16">
        <v>0</v>
      </c>
      <c r="H229" s="16">
        <v>1</v>
      </c>
      <c r="I229" s="16">
        <v>0</v>
      </c>
      <c r="J229" s="16">
        <v>0</v>
      </c>
      <c r="K229" s="16">
        <v>0</v>
      </c>
      <c r="L229" s="17">
        <v>0</v>
      </c>
      <c r="M229" s="11"/>
      <c r="N229" s="20">
        <v>0.5</v>
      </c>
      <c r="O229" s="12" t="s">
        <v>333</v>
      </c>
      <c r="P229" s="12" t="s">
        <v>324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x14ac:dyDescent="0.3">
      <c r="A230" s="11"/>
      <c r="B230" s="16" t="s">
        <v>349</v>
      </c>
      <c r="C230" s="11" t="s">
        <v>220</v>
      </c>
      <c r="D230" s="11" t="s">
        <v>220</v>
      </c>
      <c r="E230" s="16" t="s">
        <v>307</v>
      </c>
      <c r="F230" s="16">
        <v>2</v>
      </c>
      <c r="G230" s="16">
        <v>0</v>
      </c>
      <c r="H230" s="16">
        <v>0</v>
      </c>
      <c r="I230" s="16">
        <v>0</v>
      </c>
      <c r="J230" s="16">
        <v>2</v>
      </c>
      <c r="K230" s="16">
        <v>1</v>
      </c>
      <c r="L230" s="17">
        <v>0.25</v>
      </c>
      <c r="M230" s="11"/>
      <c r="N230" s="18">
        <v>1.5</v>
      </c>
      <c r="O230" s="12" t="s">
        <v>323</v>
      </c>
      <c r="P230" s="12" t="s">
        <v>324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x14ac:dyDescent="0.3">
      <c r="A231" s="11"/>
      <c r="B231" s="16" t="s">
        <v>349</v>
      </c>
      <c r="C231" s="11" t="s">
        <v>175</v>
      </c>
      <c r="D231" s="11" t="s">
        <v>175</v>
      </c>
      <c r="E231" s="16" t="s">
        <v>307</v>
      </c>
      <c r="F231" s="16">
        <v>2</v>
      </c>
      <c r="G231" s="16">
        <v>0</v>
      </c>
      <c r="H231" s="16">
        <v>0</v>
      </c>
      <c r="I231" s="16">
        <v>0</v>
      </c>
      <c r="J231" s="16">
        <v>1</v>
      </c>
      <c r="K231" s="16">
        <v>0</v>
      </c>
      <c r="L231" s="17">
        <v>0</v>
      </c>
      <c r="M231" s="11"/>
      <c r="N231" s="20">
        <v>0.5</v>
      </c>
      <c r="O231" s="12" t="s">
        <v>333</v>
      </c>
      <c r="P231" s="12" t="s">
        <v>324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x14ac:dyDescent="0.3">
      <c r="A232" s="11"/>
      <c r="B232" s="16" t="s">
        <v>349</v>
      </c>
      <c r="C232" s="11" t="s">
        <v>205</v>
      </c>
      <c r="D232" s="11" t="s">
        <v>205</v>
      </c>
      <c r="E232" s="16" t="s">
        <v>307</v>
      </c>
      <c r="F232" s="16">
        <v>3</v>
      </c>
      <c r="G232" s="16">
        <v>0</v>
      </c>
      <c r="H232" s="16">
        <v>3</v>
      </c>
      <c r="I232" s="16">
        <v>0</v>
      </c>
      <c r="J232" s="16">
        <v>6</v>
      </c>
      <c r="K232" s="16">
        <v>2</v>
      </c>
      <c r="L232" s="17">
        <v>0.16669999999999999</v>
      </c>
      <c r="M232" s="11"/>
      <c r="N232" s="18">
        <v>1.5</v>
      </c>
      <c r="O232" s="12" t="s">
        <v>323</v>
      </c>
      <c r="P232" s="12" t="s">
        <v>324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x14ac:dyDescent="0.3">
      <c r="A233" s="11"/>
      <c r="B233" s="16" t="s">
        <v>349</v>
      </c>
      <c r="C233" s="11" t="s">
        <v>224</v>
      </c>
      <c r="D233" s="11" t="s">
        <v>224</v>
      </c>
      <c r="E233" s="16" t="s">
        <v>307</v>
      </c>
      <c r="F233" s="16">
        <v>1</v>
      </c>
      <c r="G233" s="16">
        <v>0</v>
      </c>
      <c r="H233" s="16">
        <v>1</v>
      </c>
      <c r="I233" s="16">
        <v>0</v>
      </c>
      <c r="J233" s="16">
        <v>2</v>
      </c>
      <c r="K233" s="16">
        <v>0</v>
      </c>
      <c r="L233" s="17">
        <v>0</v>
      </c>
      <c r="M233" s="11"/>
      <c r="N233" s="20">
        <v>0.5</v>
      </c>
      <c r="O233" s="12" t="s">
        <v>333</v>
      </c>
      <c r="P233" s="12" t="s">
        <v>324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x14ac:dyDescent="0.3">
      <c r="A234" s="11"/>
      <c r="B234" s="16" t="s">
        <v>349</v>
      </c>
      <c r="C234" s="11" t="s">
        <v>208</v>
      </c>
      <c r="D234" s="11" t="s">
        <v>208</v>
      </c>
      <c r="E234" s="16" t="s">
        <v>307</v>
      </c>
      <c r="F234" s="16">
        <v>3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7">
        <v>0</v>
      </c>
      <c r="M234" s="11"/>
      <c r="N234" s="20">
        <v>0.5</v>
      </c>
      <c r="O234" s="12" t="s">
        <v>333</v>
      </c>
      <c r="P234" s="12" t="s">
        <v>324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x14ac:dyDescent="0.3">
      <c r="A235" s="11"/>
      <c r="B235" s="16" t="s">
        <v>349</v>
      </c>
      <c r="C235" s="27" t="s">
        <v>407</v>
      </c>
      <c r="D235" s="11" t="s">
        <v>407</v>
      </c>
      <c r="E235" s="16" t="s">
        <v>307</v>
      </c>
      <c r="F235" s="28">
        <v>1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7">
        <v>0</v>
      </c>
      <c r="M235" s="11"/>
      <c r="N235" s="20">
        <v>0.5</v>
      </c>
      <c r="O235" s="12" t="s">
        <v>333</v>
      </c>
      <c r="P235" s="12" t="s">
        <v>324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x14ac:dyDescent="0.3">
      <c r="A236" s="11"/>
      <c r="B236" s="16" t="s">
        <v>349</v>
      </c>
      <c r="C236" s="11" t="s">
        <v>396</v>
      </c>
      <c r="D236" s="11" t="s">
        <v>396</v>
      </c>
      <c r="E236" s="16" t="s">
        <v>307</v>
      </c>
      <c r="F236" s="16">
        <v>7</v>
      </c>
      <c r="G236" s="16">
        <v>0</v>
      </c>
      <c r="H236" s="16">
        <v>3</v>
      </c>
      <c r="I236" s="16">
        <v>0</v>
      </c>
      <c r="J236" s="16">
        <v>2</v>
      </c>
      <c r="K236" s="16">
        <v>0</v>
      </c>
      <c r="L236" s="17">
        <v>0</v>
      </c>
      <c r="M236" s="11"/>
      <c r="N236" s="20">
        <v>0.5</v>
      </c>
      <c r="O236" s="12" t="s">
        <v>333</v>
      </c>
      <c r="P236" s="12" t="s">
        <v>324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x14ac:dyDescent="0.3">
      <c r="A237" s="11"/>
      <c r="B237" s="11"/>
      <c r="C237" s="11" t="s">
        <v>190</v>
      </c>
      <c r="D237" s="11" t="s">
        <v>190</v>
      </c>
      <c r="E237" s="16" t="s">
        <v>307</v>
      </c>
      <c r="F237" s="16">
        <v>0</v>
      </c>
      <c r="G237" s="16">
        <v>0</v>
      </c>
      <c r="H237" s="16">
        <v>2</v>
      </c>
      <c r="I237" s="16">
        <v>1</v>
      </c>
      <c r="J237" s="16">
        <v>3</v>
      </c>
      <c r="K237" s="16">
        <v>0</v>
      </c>
      <c r="L237" s="17">
        <v>0.2</v>
      </c>
      <c r="M237" s="11"/>
      <c r="N237" s="18">
        <v>1.5</v>
      </c>
      <c r="O237" s="12" t="s">
        <v>323</v>
      </c>
      <c r="P237" s="12" t="s">
        <v>324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x14ac:dyDescent="0.3">
      <c r="A238" s="11"/>
      <c r="B238" s="16" t="s">
        <v>349</v>
      </c>
      <c r="C238" s="11" t="s">
        <v>210</v>
      </c>
      <c r="D238" s="11" t="s">
        <v>210</v>
      </c>
      <c r="E238" s="16" t="s">
        <v>307</v>
      </c>
      <c r="F238" s="16">
        <v>4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7">
        <v>0</v>
      </c>
      <c r="M238" s="11"/>
      <c r="N238" s="20">
        <v>0.5</v>
      </c>
      <c r="O238" s="12" t="s">
        <v>333</v>
      </c>
      <c r="P238" s="12" t="s">
        <v>324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x14ac:dyDescent="0.3">
      <c r="A239" s="11"/>
      <c r="B239" s="16" t="s">
        <v>349</v>
      </c>
      <c r="C239" s="27" t="s">
        <v>212</v>
      </c>
      <c r="D239" s="11" t="s">
        <v>212</v>
      </c>
      <c r="E239" s="16" t="s">
        <v>307</v>
      </c>
      <c r="F239" s="28">
        <v>1</v>
      </c>
      <c r="G239" s="16">
        <v>0</v>
      </c>
      <c r="H239" s="16">
        <v>1</v>
      </c>
      <c r="I239" s="16">
        <v>0</v>
      </c>
      <c r="J239" s="16">
        <v>0</v>
      </c>
      <c r="K239" s="16">
        <v>0</v>
      </c>
      <c r="L239" s="17">
        <v>0</v>
      </c>
      <c r="M239" s="11"/>
      <c r="N239" s="20">
        <v>0.5</v>
      </c>
      <c r="O239" s="12" t="s">
        <v>333</v>
      </c>
      <c r="P239" s="12" t="s">
        <v>324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x14ac:dyDescent="0.3">
      <c r="A240" s="11"/>
      <c r="B240" s="16" t="s">
        <v>349</v>
      </c>
      <c r="C240" s="11" t="s">
        <v>221</v>
      </c>
      <c r="D240" s="11" t="s">
        <v>221</v>
      </c>
      <c r="E240" s="16" t="s">
        <v>307</v>
      </c>
      <c r="F240" s="16">
        <v>2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7">
        <v>0</v>
      </c>
      <c r="M240" s="11"/>
      <c r="N240" s="20">
        <v>0.5</v>
      </c>
      <c r="O240" s="12" t="s">
        <v>333</v>
      </c>
      <c r="P240" s="12" t="s">
        <v>324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x14ac:dyDescent="0.3">
      <c r="A241" s="11"/>
      <c r="B241" s="11"/>
      <c r="C241" s="11" t="s">
        <v>186</v>
      </c>
      <c r="D241" s="11" t="s">
        <v>186</v>
      </c>
      <c r="E241" s="16" t="s">
        <v>307</v>
      </c>
      <c r="F241" s="16">
        <v>0</v>
      </c>
      <c r="G241" s="16">
        <v>0</v>
      </c>
      <c r="H241" s="16">
        <v>3</v>
      </c>
      <c r="I241" s="16">
        <v>0</v>
      </c>
      <c r="J241" s="16">
        <v>5</v>
      </c>
      <c r="K241" s="16">
        <v>0</v>
      </c>
      <c r="L241" s="17">
        <v>0</v>
      </c>
      <c r="M241" s="11"/>
      <c r="N241" s="20">
        <v>0.5</v>
      </c>
      <c r="O241" s="12" t="s">
        <v>333</v>
      </c>
      <c r="P241" s="12" t="s">
        <v>324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x14ac:dyDescent="0.3">
      <c r="A242" s="11"/>
      <c r="B242" s="16" t="s">
        <v>349</v>
      </c>
      <c r="C242" s="11" t="s">
        <v>183</v>
      </c>
      <c r="D242" s="11" t="s">
        <v>183</v>
      </c>
      <c r="E242" s="16" t="s">
        <v>307</v>
      </c>
      <c r="F242" s="16">
        <v>2</v>
      </c>
      <c r="G242" s="16">
        <v>0</v>
      </c>
      <c r="H242" s="16">
        <v>3</v>
      </c>
      <c r="I242" s="16">
        <v>0</v>
      </c>
      <c r="J242" s="16">
        <v>3</v>
      </c>
      <c r="K242" s="16">
        <v>1</v>
      </c>
      <c r="L242" s="17">
        <v>0.125</v>
      </c>
      <c r="M242" s="11"/>
      <c r="N242" s="18">
        <v>1.5</v>
      </c>
      <c r="O242" s="12" t="s">
        <v>323</v>
      </c>
      <c r="P242" s="12" t="s">
        <v>324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x14ac:dyDescent="0.3">
      <c r="A243" s="11"/>
      <c r="B243" s="16" t="s">
        <v>349</v>
      </c>
      <c r="C243" s="11" t="s">
        <v>397</v>
      </c>
      <c r="D243" s="11" t="s">
        <v>397</v>
      </c>
      <c r="E243" s="16" t="s">
        <v>307</v>
      </c>
      <c r="F243" s="16">
        <v>3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7">
        <v>0</v>
      </c>
      <c r="M243" s="11"/>
      <c r="N243" s="20">
        <v>0.5</v>
      </c>
      <c r="O243" s="12" t="s">
        <v>333</v>
      </c>
      <c r="P243" s="12" t="s">
        <v>324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x14ac:dyDescent="0.3">
      <c r="A244" s="11"/>
      <c r="B244" s="16" t="s">
        <v>349</v>
      </c>
      <c r="C244" s="11" t="s">
        <v>187</v>
      </c>
      <c r="D244" s="11" t="s">
        <v>187</v>
      </c>
      <c r="E244" s="16" t="s">
        <v>307</v>
      </c>
      <c r="F244" s="16">
        <v>5</v>
      </c>
      <c r="G244" s="16">
        <v>0</v>
      </c>
      <c r="H244" s="16">
        <v>6</v>
      </c>
      <c r="I244" s="16">
        <v>1</v>
      </c>
      <c r="J244" s="16">
        <v>3</v>
      </c>
      <c r="K244" s="16">
        <v>0</v>
      </c>
      <c r="L244" s="17">
        <v>7.1400000000000005E-2</v>
      </c>
      <c r="M244" s="11"/>
      <c r="N244" s="19">
        <v>0.75</v>
      </c>
      <c r="O244" s="12" t="s">
        <v>331</v>
      </c>
      <c r="P244" s="12" t="s">
        <v>324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x14ac:dyDescent="0.3">
      <c r="A245" s="11"/>
      <c r="B245" s="16" t="s">
        <v>349</v>
      </c>
      <c r="C245" s="11" t="s">
        <v>206</v>
      </c>
      <c r="D245" s="11" t="s">
        <v>206</v>
      </c>
      <c r="E245" s="16" t="s">
        <v>307</v>
      </c>
      <c r="F245" s="16">
        <v>1</v>
      </c>
      <c r="G245" s="16">
        <v>0</v>
      </c>
      <c r="H245" s="16">
        <v>2</v>
      </c>
      <c r="I245" s="16">
        <v>0</v>
      </c>
      <c r="J245" s="16">
        <v>2</v>
      </c>
      <c r="K245" s="16">
        <v>0</v>
      </c>
      <c r="L245" s="17">
        <v>0</v>
      </c>
      <c r="M245" s="11"/>
      <c r="N245" s="20">
        <v>0.5</v>
      </c>
      <c r="O245" s="12" t="s">
        <v>333</v>
      </c>
      <c r="P245" s="12" t="s">
        <v>324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3">
      <c r="A246" s="11"/>
      <c r="B246" s="16" t="s">
        <v>349</v>
      </c>
      <c r="C246" s="11" t="s">
        <v>203</v>
      </c>
      <c r="D246" s="11" t="s">
        <v>203</v>
      </c>
      <c r="E246" s="16" t="s">
        <v>307</v>
      </c>
      <c r="F246" s="16">
        <v>3</v>
      </c>
      <c r="G246" s="16">
        <v>1</v>
      </c>
      <c r="H246" s="16">
        <v>2</v>
      </c>
      <c r="I246" s="16">
        <v>0</v>
      </c>
      <c r="J246" s="16">
        <v>9</v>
      </c>
      <c r="K246" s="16">
        <v>0</v>
      </c>
      <c r="L246" s="17">
        <v>7.1400000000000005E-2</v>
      </c>
      <c r="M246" s="11"/>
      <c r="N246" s="19">
        <v>0.75</v>
      </c>
      <c r="O246" s="12" t="s">
        <v>331</v>
      </c>
      <c r="P246" s="12" t="s">
        <v>324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x14ac:dyDescent="0.3">
      <c r="A247" s="11"/>
      <c r="B247" s="16" t="s">
        <v>349</v>
      </c>
      <c r="C247" s="11" t="s">
        <v>189</v>
      </c>
      <c r="D247" s="11" t="s">
        <v>189</v>
      </c>
      <c r="E247" s="16" t="s">
        <v>307</v>
      </c>
      <c r="F247" s="16">
        <v>7</v>
      </c>
      <c r="G247" s="16">
        <v>2</v>
      </c>
      <c r="H247" s="16">
        <v>3</v>
      </c>
      <c r="I247" s="16">
        <v>1</v>
      </c>
      <c r="J247" s="16">
        <v>3</v>
      </c>
      <c r="K247" s="16">
        <v>0</v>
      </c>
      <c r="L247" s="17">
        <v>0.23080000000000001</v>
      </c>
      <c r="M247" s="11"/>
      <c r="N247" s="18">
        <v>1.5</v>
      </c>
      <c r="O247" s="12" t="s">
        <v>323</v>
      </c>
      <c r="P247" s="12" t="s">
        <v>324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x14ac:dyDescent="0.3">
      <c r="A248" s="11"/>
      <c r="B248" s="16" t="s">
        <v>349</v>
      </c>
      <c r="C248" s="11" t="s">
        <v>217</v>
      </c>
      <c r="D248" s="11" t="s">
        <v>217</v>
      </c>
      <c r="E248" s="16" t="s">
        <v>307</v>
      </c>
      <c r="F248" s="16">
        <v>3</v>
      </c>
      <c r="G248" s="16">
        <v>0</v>
      </c>
      <c r="H248" s="16">
        <v>3</v>
      </c>
      <c r="I248" s="16">
        <v>0</v>
      </c>
      <c r="J248" s="16">
        <v>2</v>
      </c>
      <c r="K248" s="16">
        <v>0</v>
      </c>
      <c r="L248" s="17">
        <v>0</v>
      </c>
      <c r="M248" s="11"/>
      <c r="N248" s="20">
        <v>0.5</v>
      </c>
      <c r="O248" s="12" t="s">
        <v>333</v>
      </c>
      <c r="P248" s="12" t="s">
        <v>324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x14ac:dyDescent="0.3">
      <c r="A249" s="11"/>
      <c r="B249" s="11"/>
      <c r="C249" s="11" t="s">
        <v>197</v>
      </c>
      <c r="D249" s="11" t="s">
        <v>197</v>
      </c>
      <c r="E249" s="16" t="s">
        <v>307</v>
      </c>
      <c r="F249" s="16">
        <v>0</v>
      </c>
      <c r="G249" s="16">
        <v>0</v>
      </c>
      <c r="H249" s="16">
        <v>2</v>
      </c>
      <c r="I249" s="16">
        <v>0</v>
      </c>
      <c r="J249" s="16">
        <v>3</v>
      </c>
      <c r="K249" s="16">
        <v>0</v>
      </c>
      <c r="L249" s="17">
        <v>0</v>
      </c>
      <c r="M249" s="11"/>
      <c r="N249" s="20">
        <v>0.5</v>
      </c>
      <c r="O249" s="12" t="s">
        <v>333</v>
      </c>
      <c r="P249" s="12" t="s">
        <v>324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x14ac:dyDescent="0.3">
      <c r="A250" s="11"/>
      <c r="B250" s="11"/>
      <c r="C250" s="11" t="s">
        <v>398</v>
      </c>
      <c r="D250" s="11" t="s">
        <v>398</v>
      </c>
      <c r="E250" s="16" t="s">
        <v>307</v>
      </c>
      <c r="F250" s="16">
        <v>0</v>
      </c>
      <c r="G250" s="16">
        <v>0</v>
      </c>
      <c r="H250" s="16">
        <v>3</v>
      </c>
      <c r="I250" s="16">
        <v>0</v>
      </c>
      <c r="J250" s="16">
        <v>0</v>
      </c>
      <c r="K250" s="16">
        <v>0</v>
      </c>
      <c r="L250" s="17">
        <v>0</v>
      </c>
      <c r="M250" s="11"/>
      <c r="N250" s="20">
        <v>0.5</v>
      </c>
      <c r="O250" s="12" t="s">
        <v>333</v>
      </c>
      <c r="P250" s="12" t="s">
        <v>324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x14ac:dyDescent="0.3">
      <c r="A251" s="11"/>
      <c r="B251" s="16" t="s">
        <v>349</v>
      </c>
      <c r="C251" s="11" t="s">
        <v>209</v>
      </c>
      <c r="D251" s="11" t="s">
        <v>209</v>
      </c>
      <c r="E251" s="16" t="s">
        <v>307</v>
      </c>
      <c r="F251" s="16">
        <v>2</v>
      </c>
      <c r="G251" s="16">
        <v>0</v>
      </c>
      <c r="H251" s="16">
        <v>2</v>
      </c>
      <c r="I251" s="16">
        <v>0</v>
      </c>
      <c r="J251" s="16">
        <v>2</v>
      </c>
      <c r="K251" s="16">
        <v>0</v>
      </c>
      <c r="L251" s="17">
        <v>0</v>
      </c>
      <c r="M251" s="11"/>
      <c r="N251" s="20">
        <v>0.5</v>
      </c>
      <c r="O251" s="12" t="s">
        <v>333</v>
      </c>
      <c r="P251" s="12" t="s">
        <v>324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x14ac:dyDescent="0.3">
      <c r="A252" s="11"/>
      <c r="B252" s="16" t="s">
        <v>349</v>
      </c>
      <c r="C252" s="11" t="s">
        <v>399</v>
      </c>
      <c r="D252" s="11" t="s">
        <v>399</v>
      </c>
      <c r="E252" s="16" t="s">
        <v>307</v>
      </c>
      <c r="F252" s="16">
        <v>4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7">
        <v>0</v>
      </c>
      <c r="M252" s="11"/>
      <c r="N252" s="20">
        <v>0.5</v>
      </c>
      <c r="O252" s="12" t="s">
        <v>333</v>
      </c>
      <c r="P252" s="12" t="s">
        <v>324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x14ac:dyDescent="0.3">
      <c r="A253" s="11"/>
      <c r="B253" s="16" t="s">
        <v>349</v>
      </c>
      <c r="C253" s="11" t="s">
        <v>192</v>
      </c>
      <c r="D253" s="11" t="s">
        <v>192</v>
      </c>
      <c r="E253" s="16" t="s">
        <v>307</v>
      </c>
      <c r="F253" s="16">
        <v>2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7">
        <v>0</v>
      </c>
      <c r="M253" s="11"/>
      <c r="N253" s="20">
        <v>0.5</v>
      </c>
      <c r="O253" s="12" t="s">
        <v>333</v>
      </c>
      <c r="P253" s="12" t="s">
        <v>324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x14ac:dyDescent="0.3">
      <c r="A254" s="11"/>
      <c r="B254" s="11"/>
      <c r="C254" s="11" t="s">
        <v>216</v>
      </c>
      <c r="D254" s="11" t="s">
        <v>216</v>
      </c>
      <c r="E254" s="16" t="s">
        <v>307</v>
      </c>
      <c r="F254" s="16">
        <v>0</v>
      </c>
      <c r="G254" s="16">
        <v>0</v>
      </c>
      <c r="H254" s="16">
        <v>1</v>
      </c>
      <c r="I254" s="16">
        <v>0</v>
      </c>
      <c r="J254" s="16">
        <v>1</v>
      </c>
      <c r="K254" s="16">
        <v>0</v>
      </c>
      <c r="L254" s="17">
        <v>0</v>
      </c>
      <c r="M254" s="11"/>
      <c r="N254" s="20">
        <v>0.5</v>
      </c>
      <c r="O254" s="12" t="s">
        <v>333</v>
      </c>
      <c r="P254" s="12" t="s">
        <v>324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x14ac:dyDescent="0.3">
      <c r="A255" s="11"/>
      <c r="B255" s="16" t="s">
        <v>349</v>
      </c>
      <c r="C255" s="11" t="s">
        <v>180</v>
      </c>
      <c r="D255" s="11" t="s">
        <v>180</v>
      </c>
      <c r="E255" s="16" t="s">
        <v>307</v>
      </c>
      <c r="F255" s="16">
        <v>6</v>
      </c>
      <c r="G255" s="16">
        <v>0</v>
      </c>
      <c r="H255" s="16">
        <v>3</v>
      </c>
      <c r="I255" s="16">
        <v>0</v>
      </c>
      <c r="J255" s="16">
        <v>6</v>
      </c>
      <c r="K255" s="16">
        <v>1</v>
      </c>
      <c r="L255" s="17">
        <v>6.6699999999999995E-2</v>
      </c>
      <c r="M255" s="11"/>
      <c r="N255" s="19">
        <v>0.75</v>
      </c>
      <c r="O255" s="12" t="s">
        <v>331</v>
      </c>
      <c r="P255" s="12" t="s">
        <v>324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x14ac:dyDescent="0.3">
      <c r="A256" s="11"/>
      <c r="B256" s="16" t="s">
        <v>349</v>
      </c>
      <c r="C256" s="11" t="s">
        <v>207</v>
      </c>
      <c r="D256" s="11" t="s">
        <v>207</v>
      </c>
      <c r="E256" s="16" t="s">
        <v>307</v>
      </c>
      <c r="F256" s="16">
        <v>3</v>
      </c>
      <c r="G256" s="16">
        <v>0</v>
      </c>
      <c r="H256" s="16">
        <v>3</v>
      </c>
      <c r="I256" s="16">
        <v>0</v>
      </c>
      <c r="J256" s="16">
        <v>0</v>
      </c>
      <c r="K256" s="16">
        <v>0</v>
      </c>
      <c r="L256" s="17">
        <v>0</v>
      </c>
      <c r="M256" s="11"/>
      <c r="N256" s="20">
        <v>0.5</v>
      </c>
      <c r="O256" s="12" t="s">
        <v>333</v>
      </c>
      <c r="P256" s="12" t="s">
        <v>324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x14ac:dyDescent="0.3">
      <c r="A257" s="11"/>
      <c r="B257" s="16" t="s">
        <v>349</v>
      </c>
      <c r="C257" s="11" t="s">
        <v>400</v>
      </c>
      <c r="D257" s="11" t="s">
        <v>400</v>
      </c>
      <c r="E257" s="16" t="s">
        <v>307</v>
      </c>
      <c r="F257" s="16">
        <v>8</v>
      </c>
      <c r="G257" s="16">
        <v>0</v>
      </c>
      <c r="H257" s="16">
        <v>3</v>
      </c>
      <c r="I257" s="16">
        <v>1</v>
      </c>
      <c r="J257" s="16">
        <v>0</v>
      </c>
      <c r="K257" s="16">
        <v>0</v>
      </c>
      <c r="L257" s="17">
        <v>9.0899999999999995E-2</v>
      </c>
      <c r="M257" s="11"/>
      <c r="N257" s="19">
        <v>0.75</v>
      </c>
      <c r="O257" s="12" t="s">
        <v>331</v>
      </c>
      <c r="P257" s="12" t="s">
        <v>324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x14ac:dyDescent="0.3">
      <c r="A258" s="11"/>
      <c r="B258" s="16" t="s">
        <v>349</v>
      </c>
      <c r="C258" s="11" t="s">
        <v>191</v>
      </c>
      <c r="D258" s="11" t="s">
        <v>191</v>
      </c>
      <c r="E258" s="16" t="s">
        <v>307</v>
      </c>
      <c r="F258" s="16">
        <v>7</v>
      </c>
      <c r="G258" s="16">
        <v>0</v>
      </c>
      <c r="H258" s="16">
        <v>3</v>
      </c>
      <c r="I258" s="16">
        <v>2</v>
      </c>
      <c r="J258" s="16">
        <v>5</v>
      </c>
      <c r="K258" s="16">
        <v>0</v>
      </c>
      <c r="L258" s="17">
        <v>0.1333</v>
      </c>
      <c r="M258" s="11"/>
      <c r="N258" s="18">
        <v>1.5</v>
      </c>
      <c r="O258" s="12" t="s">
        <v>323</v>
      </c>
      <c r="P258" s="12" t="s">
        <v>324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x14ac:dyDescent="0.3">
      <c r="A259" s="11"/>
      <c r="B259" s="16" t="s">
        <v>349</v>
      </c>
      <c r="C259" s="11" t="s">
        <v>182</v>
      </c>
      <c r="D259" s="11" t="s">
        <v>182</v>
      </c>
      <c r="E259" s="16" t="s">
        <v>307</v>
      </c>
      <c r="F259" s="16">
        <v>4</v>
      </c>
      <c r="G259" s="16">
        <v>0</v>
      </c>
      <c r="H259" s="16">
        <v>3</v>
      </c>
      <c r="I259" s="16">
        <v>0</v>
      </c>
      <c r="J259" s="16">
        <v>0</v>
      </c>
      <c r="K259" s="16">
        <v>0</v>
      </c>
      <c r="L259" s="17">
        <v>0</v>
      </c>
      <c r="M259" s="11"/>
      <c r="N259" s="20">
        <v>0.5</v>
      </c>
      <c r="O259" s="12" t="s">
        <v>333</v>
      </c>
      <c r="P259" s="12" t="s">
        <v>324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x14ac:dyDescent="0.3">
      <c r="A260" s="11"/>
      <c r="B260" s="16" t="s">
        <v>349</v>
      </c>
      <c r="C260" s="11" t="s">
        <v>401</v>
      </c>
      <c r="D260" s="11" t="s">
        <v>401</v>
      </c>
      <c r="E260" s="16" t="s">
        <v>307</v>
      </c>
      <c r="F260" s="16">
        <v>7</v>
      </c>
      <c r="G260" s="16">
        <v>0</v>
      </c>
      <c r="H260" s="16">
        <v>1</v>
      </c>
      <c r="I260" s="16">
        <v>0</v>
      </c>
      <c r="J260" s="16">
        <v>0</v>
      </c>
      <c r="K260" s="16">
        <v>0</v>
      </c>
      <c r="L260" s="17">
        <v>0</v>
      </c>
      <c r="M260" s="11"/>
      <c r="N260" s="20">
        <v>0.5</v>
      </c>
      <c r="O260" s="12" t="s">
        <v>333</v>
      </c>
      <c r="P260" s="12" t="s">
        <v>324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x14ac:dyDescent="0.3">
      <c r="A261" s="11"/>
      <c r="B261" s="16" t="s">
        <v>349</v>
      </c>
      <c r="C261" s="11" t="s">
        <v>214</v>
      </c>
      <c r="D261" s="11" t="s">
        <v>214</v>
      </c>
      <c r="E261" s="16" t="s">
        <v>307</v>
      </c>
      <c r="F261" s="16">
        <v>2</v>
      </c>
      <c r="G261" s="16">
        <v>0</v>
      </c>
      <c r="H261" s="16">
        <v>2</v>
      </c>
      <c r="I261" s="16">
        <v>0</v>
      </c>
      <c r="J261" s="16">
        <v>2</v>
      </c>
      <c r="K261" s="16">
        <v>0</v>
      </c>
      <c r="L261" s="17">
        <v>0</v>
      </c>
      <c r="M261" s="11"/>
      <c r="N261" s="20">
        <v>0.5</v>
      </c>
      <c r="O261" s="12" t="s">
        <v>333</v>
      </c>
      <c r="P261" s="12" t="s">
        <v>324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x14ac:dyDescent="0.3">
      <c r="A262" s="11"/>
      <c r="B262" s="16" t="s">
        <v>349</v>
      </c>
      <c r="C262" s="11" t="s">
        <v>179</v>
      </c>
      <c r="D262" s="11" t="s">
        <v>179</v>
      </c>
      <c r="E262" s="16" t="s">
        <v>307</v>
      </c>
      <c r="F262" s="16">
        <v>10</v>
      </c>
      <c r="G262" s="16">
        <v>2</v>
      </c>
      <c r="H262" s="16">
        <v>3</v>
      </c>
      <c r="I262" s="16">
        <v>0</v>
      </c>
      <c r="J262" s="16">
        <v>5</v>
      </c>
      <c r="K262" s="16">
        <v>2</v>
      </c>
      <c r="L262" s="17">
        <v>0.22220000000000001</v>
      </c>
      <c r="M262" s="11"/>
      <c r="N262" s="18">
        <v>1.5</v>
      </c>
      <c r="O262" s="12" t="s">
        <v>323</v>
      </c>
      <c r="P262" s="12" t="s">
        <v>324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x14ac:dyDescent="0.3">
      <c r="A263" s="11"/>
      <c r="B263" s="16" t="s">
        <v>349</v>
      </c>
      <c r="C263" s="11" t="s">
        <v>194</v>
      </c>
      <c r="D263" s="11" t="s">
        <v>194</v>
      </c>
      <c r="E263" s="16" t="s">
        <v>307</v>
      </c>
      <c r="F263" s="16">
        <v>8</v>
      </c>
      <c r="G263" s="16">
        <v>0</v>
      </c>
      <c r="H263" s="16">
        <v>3</v>
      </c>
      <c r="I263" s="16">
        <v>0</v>
      </c>
      <c r="J263" s="16">
        <v>1</v>
      </c>
      <c r="K263" s="16">
        <v>1</v>
      </c>
      <c r="L263" s="17">
        <v>8.3299999999999999E-2</v>
      </c>
      <c r="M263" s="11"/>
      <c r="N263" s="19">
        <v>0.75</v>
      </c>
      <c r="O263" s="12" t="s">
        <v>331</v>
      </c>
      <c r="P263" s="12" t="s">
        <v>324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x14ac:dyDescent="0.3">
      <c r="A264" s="11"/>
      <c r="B264" s="16" t="s">
        <v>349</v>
      </c>
      <c r="C264" s="11" t="s">
        <v>218</v>
      </c>
      <c r="D264" s="11" t="s">
        <v>218</v>
      </c>
      <c r="E264" s="16" t="s">
        <v>307</v>
      </c>
      <c r="F264" s="16">
        <v>2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7">
        <v>0</v>
      </c>
      <c r="M264" s="11"/>
      <c r="N264" s="20">
        <v>0.5</v>
      </c>
      <c r="O264" s="12" t="s">
        <v>333</v>
      </c>
      <c r="P264" s="12" t="s">
        <v>324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x14ac:dyDescent="0.3">
      <c r="A265" s="11"/>
      <c r="B265" s="16" t="s">
        <v>349</v>
      </c>
      <c r="C265" s="11" t="s">
        <v>173</v>
      </c>
      <c r="D265" s="11" t="s">
        <v>173</v>
      </c>
      <c r="E265" s="16" t="s">
        <v>307</v>
      </c>
      <c r="F265" s="16">
        <v>7</v>
      </c>
      <c r="G265" s="16">
        <v>0</v>
      </c>
      <c r="H265" s="16">
        <v>5</v>
      </c>
      <c r="I265" s="16">
        <v>1</v>
      </c>
      <c r="J265" s="16">
        <v>11</v>
      </c>
      <c r="K265" s="16">
        <v>1</v>
      </c>
      <c r="L265" s="17">
        <v>8.6999999999999994E-2</v>
      </c>
      <c r="M265" s="11"/>
      <c r="N265" s="19">
        <v>0.75</v>
      </c>
      <c r="O265" s="12" t="s">
        <v>331</v>
      </c>
      <c r="P265" s="12" t="s">
        <v>324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x14ac:dyDescent="0.3">
      <c r="A266" s="11"/>
      <c r="B266" s="16" t="s">
        <v>349</v>
      </c>
      <c r="C266" s="11" t="s">
        <v>188</v>
      </c>
      <c r="D266" s="11" t="s">
        <v>188</v>
      </c>
      <c r="E266" s="16" t="s">
        <v>307</v>
      </c>
      <c r="F266" s="16">
        <v>6</v>
      </c>
      <c r="G266" s="16">
        <v>0</v>
      </c>
      <c r="H266" s="16">
        <v>3</v>
      </c>
      <c r="I266" s="16">
        <v>0</v>
      </c>
      <c r="J266" s="16">
        <v>7</v>
      </c>
      <c r="K266" s="16">
        <v>2</v>
      </c>
      <c r="L266" s="17">
        <v>0.125</v>
      </c>
      <c r="M266" s="11"/>
      <c r="N266" s="18">
        <v>1.5</v>
      </c>
      <c r="O266" s="12" t="s">
        <v>323</v>
      </c>
      <c r="P266" s="12" t="s">
        <v>324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x14ac:dyDescent="0.3">
      <c r="A267" s="11"/>
      <c r="B267" s="16" t="s">
        <v>349</v>
      </c>
      <c r="C267" s="11" t="s">
        <v>181</v>
      </c>
      <c r="D267" s="11" t="s">
        <v>181</v>
      </c>
      <c r="E267" s="16" t="s">
        <v>307</v>
      </c>
      <c r="F267" s="16">
        <v>7</v>
      </c>
      <c r="G267" s="16">
        <v>2</v>
      </c>
      <c r="H267" s="16">
        <v>7</v>
      </c>
      <c r="I267" s="16">
        <v>1</v>
      </c>
      <c r="J267" s="16">
        <v>10</v>
      </c>
      <c r="K267" s="16">
        <v>0</v>
      </c>
      <c r="L267" s="17">
        <v>0.125</v>
      </c>
      <c r="M267" s="11"/>
      <c r="N267" s="18">
        <v>1.5</v>
      </c>
      <c r="O267" s="12" t="s">
        <v>323</v>
      </c>
      <c r="P267" s="12" t="s">
        <v>324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x14ac:dyDescent="0.3">
      <c r="A268" s="11"/>
      <c r="B268" s="16" t="s">
        <v>349</v>
      </c>
      <c r="C268" s="11" t="s">
        <v>211</v>
      </c>
      <c r="D268" s="11" t="s">
        <v>211</v>
      </c>
      <c r="E268" s="16" t="s">
        <v>307</v>
      </c>
      <c r="F268" s="16">
        <v>3</v>
      </c>
      <c r="G268" s="16">
        <v>0</v>
      </c>
      <c r="H268" s="16">
        <v>2</v>
      </c>
      <c r="I268" s="16">
        <v>0</v>
      </c>
      <c r="J268" s="16">
        <v>0</v>
      </c>
      <c r="K268" s="16">
        <v>0</v>
      </c>
      <c r="L268" s="17">
        <v>0</v>
      </c>
      <c r="M268" s="11"/>
      <c r="N268" s="20">
        <v>0.5</v>
      </c>
      <c r="O268" s="12" t="s">
        <v>333</v>
      </c>
      <c r="P268" s="12" t="s">
        <v>324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x14ac:dyDescent="0.3">
      <c r="A269" s="11"/>
      <c r="B269" s="11"/>
      <c r="C269" s="11" t="s">
        <v>215</v>
      </c>
      <c r="D269" s="11" t="s">
        <v>215</v>
      </c>
      <c r="E269" s="16" t="s">
        <v>307</v>
      </c>
      <c r="F269" s="16">
        <v>0</v>
      </c>
      <c r="G269" s="16">
        <v>0</v>
      </c>
      <c r="H269" s="16">
        <v>3</v>
      </c>
      <c r="I269" s="16">
        <v>0</v>
      </c>
      <c r="J269" s="16">
        <v>3</v>
      </c>
      <c r="K269" s="16">
        <v>0</v>
      </c>
      <c r="L269" s="17">
        <v>0</v>
      </c>
      <c r="M269" s="11"/>
      <c r="N269" s="20">
        <v>0.5</v>
      </c>
      <c r="O269" s="12" t="s">
        <v>333</v>
      </c>
      <c r="P269" s="12" t="s">
        <v>324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x14ac:dyDescent="0.3">
      <c r="A270" s="11"/>
      <c r="B270" s="16" t="s">
        <v>349</v>
      </c>
      <c r="C270" s="27" t="s">
        <v>198</v>
      </c>
      <c r="D270" s="11" t="s">
        <v>198</v>
      </c>
      <c r="E270" s="16" t="s">
        <v>307</v>
      </c>
      <c r="F270" s="28">
        <v>3</v>
      </c>
      <c r="G270" s="16">
        <v>0</v>
      </c>
      <c r="H270" s="16">
        <v>0</v>
      </c>
      <c r="I270" s="16">
        <v>0</v>
      </c>
      <c r="J270" s="16">
        <v>3</v>
      </c>
      <c r="K270" s="16">
        <v>0</v>
      </c>
      <c r="L270" s="17">
        <v>0</v>
      </c>
      <c r="M270" s="11"/>
      <c r="N270" s="20">
        <v>0.5</v>
      </c>
      <c r="O270" s="12" t="s">
        <v>333</v>
      </c>
      <c r="P270" s="12" t="s">
        <v>324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x14ac:dyDescent="0.3">
      <c r="A271" s="11"/>
      <c r="B271" s="16" t="s">
        <v>349</v>
      </c>
      <c r="C271" s="11" t="s">
        <v>176</v>
      </c>
      <c r="D271" s="11" t="s">
        <v>176</v>
      </c>
      <c r="E271" s="16" t="s">
        <v>307</v>
      </c>
      <c r="F271" s="16">
        <v>13</v>
      </c>
      <c r="G271" s="16">
        <v>0</v>
      </c>
      <c r="H271" s="16">
        <v>3</v>
      </c>
      <c r="I271" s="16">
        <v>0</v>
      </c>
      <c r="J271" s="16">
        <v>4</v>
      </c>
      <c r="K271" s="16">
        <v>0</v>
      </c>
      <c r="L271" s="17">
        <v>0</v>
      </c>
      <c r="M271" s="11"/>
      <c r="N271" s="20">
        <v>0.5</v>
      </c>
      <c r="O271" s="12" t="s">
        <v>333</v>
      </c>
      <c r="P271" s="12" t="s">
        <v>324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x14ac:dyDescent="0.3">
      <c r="A272" s="11"/>
      <c r="B272" s="16" t="s">
        <v>349</v>
      </c>
      <c r="C272" s="11" t="s">
        <v>222</v>
      </c>
      <c r="D272" s="11" t="s">
        <v>222</v>
      </c>
      <c r="E272" s="16" t="s">
        <v>307</v>
      </c>
      <c r="F272" s="16">
        <v>3</v>
      </c>
      <c r="G272" s="16">
        <v>0</v>
      </c>
      <c r="H272" s="16">
        <v>3</v>
      </c>
      <c r="I272" s="16">
        <v>0</v>
      </c>
      <c r="J272" s="16">
        <v>2</v>
      </c>
      <c r="K272" s="16">
        <v>0</v>
      </c>
      <c r="L272" s="17">
        <v>0</v>
      </c>
      <c r="M272" s="11"/>
      <c r="N272" s="20">
        <v>0.5</v>
      </c>
      <c r="O272" s="12" t="s">
        <v>333</v>
      </c>
      <c r="P272" s="12" t="s">
        <v>324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x14ac:dyDescent="0.3">
      <c r="A273" s="11"/>
      <c r="B273" s="16" t="s">
        <v>349</v>
      </c>
      <c r="C273" s="11" t="s">
        <v>178</v>
      </c>
      <c r="D273" s="11" t="s">
        <v>178</v>
      </c>
      <c r="E273" s="16" t="s">
        <v>307</v>
      </c>
      <c r="F273" s="16">
        <v>4</v>
      </c>
      <c r="G273" s="16">
        <v>0</v>
      </c>
      <c r="H273" s="16">
        <v>0</v>
      </c>
      <c r="I273" s="16">
        <v>0</v>
      </c>
      <c r="J273" s="16">
        <v>2</v>
      </c>
      <c r="K273" s="16">
        <v>0</v>
      </c>
      <c r="L273" s="17">
        <v>0</v>
      </c>
      <c r="M273" s="11"/>
      <c r="N273" s="20">
        <v>0.5</v>
      </c>
      <c r="O273" s="12" t="s">
        <v>333</v>
      </c>
      <c r="P273" s="12" t="s">
        <v>324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x14ac:dyDescent="0.3">
      <c r="A274" s="11"/>
      <c r="B274" s="11"/>
      <c r="C274" s="11" t="s">
        <v>213</v>
      </c>
      <c r="D274" s="11" t="s">
        <v>213</v>
      </c>
      <c r="E274" s="16" t="s">
        <v>307</v>
      </c>
      <c r="F274" s="16">
        <v>0</v>
      </c>
      <c r="G274" s="16">
        <v>0</v>
      </c>
      <c r="H274" s="16">
        <v>3</v>
      </c>
      <c r="I274" s="16">
        <v>0</v>
      </c>
      <c r="J274" s="16">
        <v>3</v>
      </c>
      <c r="K274" s="16">
        <v>0</v>
      </c>
      <c r="L274" s="17">
        <v>0</v>
      </c>
      <c r="M274" s="11"/>
      <c r="N274" s="20">
        <v>0.5</v>
      </c>
      <c r="O274" s="12" t="s">
        <v>333</v>
      </c>
      <c r="P274" s="12" t="s">
        <v>324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x14ac:dyDescent="0.3">
      <c r="A275" s="11"/>
      <c r="B275" s="16" t="s">
        <v>349</v>
      </c>
      <c r="C275" s="11" t="s">
        <v>223</v>
      </c>
      <c r="D275" s="11" t="s">
        <v>223</v>
      </c>
      <c r="E275" s="16" t="s">
        <v>307</v>
      </c>
      <c r="F275" s="16">
        <v>3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7">
        <v>0</v>
      </c>
      <c r="M275" s="11"/>
      <c r="N275" s="20">
        <v>0.5</v>
      </c>
      <c r="O275" s="12" t="s">
        <v>333</v>
      </c>
      <c r="P275" s="12" t="s">
        <v>324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x14ac:dyDescent="0.3">
      <c r="A276" s="11"/>
      <c r="B276" s="16" t="s">
        <v>350</v>
      </c>
      <c r="C276" s="11" t="s">
        <v>250</v>
      </c>
      <c r="D276" s="11" t="s">
        <v>250</v>
      </c>
      <c r="E276" s="16" t="s">
        <v>307</v>
      </c>
      <c r="F276" s="16">
        <v>8</v>
      </c>
      <c r="G276" s="16">
        <v>0</v>
      </c>
      <c r="H276" s="16">
        <v>4</v>
      </c>
      <c r="I276" s="16">
        <v>1</v>
      </c>
      <c r="J276" s="16">
        <v>6</v>
      </c>
      <c r="K276" s="16">
        <v>2</v>
      </c>
      <c r="L276" s="17">
        <v>0.16669999999999999</v>
      </c>
      <c r="M276" s="11"/>
      <c r="N276" s="18">
        <v>1.5</v>
      </c>
      <c r="O276" s="12" t="s">
        <v>323</v>
      </c>
      <c r="P276" s="12" t="s">
        <v>324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x14ac:dyDescent="0.3">
      <c r="A277" s="11"/>
      <c r="B277" s="11"/>
      <c r="C277" s="11" t="s">
        <v>259</v>
      </c>
      <c r="D277" s="11" t="s">
        <v>259</v>
      </c>
      <c r="E277" s="16" t="s">
        <v>307</v>
      </c>
      <c r="F277" s="16">
        <v>0</v>
      </c>
      <c r="G277" s="16">
        <v>0</v>
      </c>
      <c r="H277" s="16">
        <v>3</v>
      </c>
      <c r="I277" s="16">
        <v>0</v>
      </c>
      <c r="J277" s="16">
        <v>3</v>
      </c>
      <c r="K277" s="16">
        <v>0</v>
      </c>
      <c r="L277" s="17">
        <v>0</v>
      </c>
      <c r="M277" s="11"/>
      <c r="N277" s="20">
        <v>0.5</v>
      </c>
      <c r="O277" s="12" t="s">
        <v>333</v>
      </c>
      <c r="P277" s="12" t="s">
        <v>324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x14ac:dyDescent="0.3">
      <c r="A278" s="11"/>
      <c r="B278" s="16" t="s">
        <v>350</v>
      </c>
      <c r="C278" s="11" t="s">
        <v>402</v>
      </c>
      <c r="D278" s="11" t="s">
        <v>402</v>
      </c>
      <c r="E278" s="16" t="s">
        <v>307</v>
      </c>
      <c r="F278" s="16">
        <v>3</v>
      </c>
      <c r="G278" s="16">
        <v>0</v>
      </c>
      <c r="H278" s="16">
        <v>0</v>
      </c>
      <c r="I278" s="16">
        <v>0</v>
      </c>
      <c r="J278" s="16">
        <v>1</v>
      </c>
      <c r="K278" s="16">
        <v>0</v>
      </c>
      <c r="L278" s="17">
        <v>0</v>
      </c>
      <c r="M278" s="11"/>
      <c r="N278" s="20">
        <v>0.5</v>
      </c>
      <c r="O278" s="12" t="s">
        <v>333</v>
      </c>
      <c r="P278" s="12" t="s">
        <v>324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x14ac:dyDescent="0.3">
      <c r="A279" s="11"/>
      <c r="B279" s="16" t="s">
        <v>350</v>
      </c>
      <c r="C279" s="11" t="s">
        <v>264</v>
      </c>
      <c r="D279" s="11" t="s">
        <v>264</v>
      </c>
      <c r="E279" s="16" t="s">
        <v>307</v>
      </c>
      <c r="F279" s="16">
        <v>9</v>
      </c>
      <c r="G279" s="16">
        <v>5</v>
      </c>
      <c r="H279" s="16">
        <v>4</v>
      </c>
      <c r="I279" s="16">
        <v>0</v>
      </c>
      <c r="J279" s="16">
        <v>8</v>
      </c>
      <c r="K279" s="16">
        <v>1</v>
      </c>
      <c r="L279" s="17">
        <v>0.28570000000000001</v>
      </c>
      <c r="M279" s="11"/>
      <c r="N279" s="18">
        <v>1.5</v>
      </c>
      <c r="O279" s="12" t="s">
        <v>323</v>
      </c>
      <c r="P279" s="12" t="s">
        <v>324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x14ac:dyDescent="0.3">
      <c r="A280" s="11"/>
      <c r="B280" s="16" t="s">
        <v>350</v>
      </c>
      <c r="C280" s="11" t="s">
        <v>265</v>
      </c>
      <c r="D280" s="11" t="s">
        <v>265</v>
      </c>
      <c r="E280" s="16" t="s">
        <v>307</v>
      </c>
      <c r="F280" s="16">
        <v>19</v>
      </c>
      <c r="G280" s="16">
        <v>3</v>
      </c>
      <c r="H280" s="16">
        <v>15</v>
      </c>
      <c r="I280" s="16">
        <v>0</v>
      </c>
      <c r="J280" s="16">
        <v>19</v>
      </c>
      <c r="K280" s="16">
        <v>2</v>
      </c>
      <c r="L280" s="17">
        <v>9.4299999999999995E-2</v>
      </c>
      <c r="M280" s="11"/>
      <c r="N280" s="19">
        <v>0.75</v>
      </c>
      <c r="O280" s="12" t="s">
        <v>331</v>
      </c>
      <c r="P280" s="12" t="s">
        <v>324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x14ac:dyDescent="0.3">
      <c r="A281" s="11"/>
      <c r="B281" s="16" t="s">
        <v>350</v>
      </c>
      <c r="C281" s="11" t="s">
        <v>266</v>
      </c>
      <c r="D281" s="11" t="s">
        <v>266</v>
      </c>
      <c r="E281" s="16" t="s">
        <v>307</v>
      </c>
      <c r="F281" s="16">
        <v>2</v>
      </c>
      <c r="G281" s="16">
        <v>0</v>
      </c>
      <c r="H281" s="16">
        <v>2</v>
      </c>
      <c r="I281" s="16">
        <v>0</v>
      </c>
      <c r="J281" s="16">
        <v>4</v>
      </c>
      <c r="K281" s="16">
        <v>0</v>
      </c>
      <c r="L281" s="17">
        <v>0</v>
      </c>
      <c r="M281" s="11"/>
      <c r="N281" s="20">
        <v>0.5</v>
      </c>
      <c r="O281" s="12" t="s">
        <v>333</v>
      </c>
      <c r="P281" s="12" t="s">
        <v>324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x14ac:dyDescent="0.3">
      <c r="A282" s="11"/>
      <c r="B282" s="16" t="s">
        <v>350</v>
      </c>
      <c r="C282" s="11" t="s">
        <v>403</v>
      </c>
      <c r="D282" s="11" t="s">
        <v>403</v>
      </c>
      <c r="E282" s="16" t="s">
        <v>307</v>
      </c>
      <c r="F282" s="16">
        <v>2</v>
      </c>
      <c r="G282" s="16">
        <v>0</v>
      </c>
      <c r="H282" s="16">
        <v>2</v>
      </c>
      <c r="I282" s="16">
        <v>0</v>
      </c>
      <c r="J282" s="16">
        <v>0</v>
      </c>
      <c r="K282" s="16">
        <v>0</v>
      </c>
      <c r="L282" s="17">
        <v>0</v>
      </c>
      <c r="M282" s="11"/>
      <c r="N282" s="20">
        <v>0.5</v>
      </c>
      <c r="O282" s="12" t="s">
        <v>333</v>
      </c>
      <c r="P282" s="12" t="s">
        <v>324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x14ac:dyDescent="0.3">
      <c r="A283" s="11"/>
      <c r="B283" s="16" t="s">
        <v>350</v>
      </c>
      <c r="C283" s="11" t="s">
        <v>267</v>
      </c>
      <c r="D283" s="11" t="s">
        <v>267</v>
      </c>
      <c r="E283" s="16" t="s">
        <v>307</v>
      </c>
      <c r="F283" s="16">
        <v>8</v>
      </c>
      <c r="G283" s="16">
        <v>4</v>
      </c>
      <c r="H283" s="16">
        <v>4</v>
      </c>
      <c r="I283" s="16">
        <v>0</v>
      </c>
      <c r="J283" s="16">
        <v>13</v>
      </c>
      <c r="K283" s="16">
        <v>1</v>
      </c>
      <c r="L283" s="17">
        <v>0.2</v>
      </c>
      <c r="M283" s="11"/>
      <c r="N283" s="18">
        <v>1.5</v>
      </c>
      <c r="O283" s="12" t="s">
        <v>323</v>
      </c>
      <c r="P283" s="12" t="s">
        <v>324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x14ac:dyDescent="0.3">
      <c r="A284" s="11"/>
      <c r="B284" s="16" t="s">
        <v>350</v>
      </c>
      <c r="C284" s="11" t="s">
        <v>244</v>
      </c>
      <c r="D284" s="11" t="s">
        <v>244</v>
      </c>
      <c r="E284" s="16" t="s">
        <v>307</v>
      </c>
      <c r="F284" s="16">
        <v>18</v>
      </c>
      <c r="G284" s="16">
        <v>3</v>
      </c>
      <c r="H284" s="16">
        <v>4</v>
      </c>
      <c r="I284" s="16">
        <v>0</v>
      </c>
      <c r="J284" s="16">
        <v>7</v>
      </c>
      <c r="K284" s="16">
        <v>0</v>
      </c>
      <c r="L284" s="17">
        <v>0.10340000000000001</v>
      </c>
      <c r="M284" s="11"/>
      <c r="N284" s="18">
        <v>1.5</v>
      </c>
      <c r="O284" s="12" t="s">
        <v>323</v>
      </c>
      <c r="P284" s="12" t="s">
        <v>324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x14ac:dyDescent="0.3">
      <c r="A285" s="11"/>
      <c r="B285" s="16" t="s">
        <v>350</v>
      </c>
      <c r="C285" s="11" t="s">
        <v>245</v>
      </c>
      <c r="D285" s="11" t="s">
        <v>245</v>
      </c>
      <c r="E285" s="16" t="s">
        <v>307</v>
      </c>
      <c r="F285" s="16">
        <v>44</v>
      </c>
      <c r="G285" s="16">
        <v>1</v>
      </c>
      <c r="H285" s="16">
        <v>4</v>
      </c>
      <c r="I285" s="16">
        <v>1</v>
      </c>
      <c r="J285" s="16">
        <v>11</v>
      </c>
      <c r="K285" s="16">
        <v>2</v>
      </c>
      <c r="L285" s="17">
        <v>6.7799999999999999E-2</v>
      </c>
      <c r="M285" s="11"/>
      <c r="N285" s="19">
        <v>0.75</v>
      </c>
      <c r="O285" s="12" t="s">
        <v>331</v>
      </c>
      <c r="P285" s="12" t="s">
        <v>324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x14ac:dyDescent="0.3">
      <c r="A286" s="11"/>
      <c r="B286" s="16" t="s">
        <v>350</v>
      </c>
      <c r="C286" s="11" t="s">
        <v>246</v>
      </c>
      <c r="D286" s="11" t="s">
        <v>246</v>
      </c>
      <c r="E286" s="16" t="s">
        <v>307</v>
      </c>
      <c r="F286" s="16">
        <v>6</v>
      </c>
      <c r="G286" s="16">
        <v>0</v>
      </c>
      <c r="H286" s="16">
        <v>5</v>
      </c>
      <c r="I286" s="16">
        <v>0</v>
      </c>
      <c r="J286" s="16">
        <v>0</v>
      </c>
      <c r="K286" s="16">
        <v>0</v>
      </c>
      <c r="L286" s="17">
        <v>0</v>
      </c>
      <c r="M286" s="11"/>
      <c r="N286" s="20">
        <v>0.5</v>
      </c>
      <c r="O286" s="12" t="s">
        <v>333</v>
      </c>
      <c r="P286" s="12" t="s">
        <v>324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x14ac:dyDescent="0.3">
      <c r="A287" s="11"/>
      <c r="B287" s="16" t="s">
        <v>350</v>
      </c>
      <c r="C287" s="11" t="s">
        <v>247</v>
      </c>
      <c r="D287" s="11" t="s">
        <v>247</v>
      </c>
      <c r="E287" s="16" t="s">
        <v>307</v>
      </c>
      <c r="F287" s="16">
        <v>15</v>
      </c>
      <c r="G287" s="16">
        <v>0</v>
      </c>
      <c r="H287" s="16">
        <v>4</v>
      </c>
      <c r="I287" s="16">
        <v>0</v>
      </c>
      <c r="J287" s="16">
        <v>6</v>
      </c>
      <c r="K287" s="16">
        <v>0</v>
      </c>
      <c r="L287" s="17">
        <v>0</v>
      </c>
      <c r="M287" s="11"/>
      <c r="N287" s="20">
        <v>0.5</v>
      </c>
      <c r="O287" s="12" t="s">
        <v>333</v>
      </c>
      <c r="P287" s="12" t="s">
        <v>324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x14ac:dyDescent="0.3">
      <c r="A288" s="11"/>
      <c r="B288" s="11"/>
      <c r="C288" s="11" t="s">
        <v>248</v>
      </c>
      <c r="D288" s="11" t="s">
        <v>248</v>
      </c>
      <c r="E288" s="16" t="s">
        <v>307</v>
      </c>
      <c r="F288" s="16">
        <v>0</v>
      </c>
      <c r="G288" s="16">
        <v>0</v>
      </c>
      <c r="H288" s="16">
        <v>0</v>
      </c>
      <c r="I288" s="16">
        <v>0</v>
      </c>
      <c r="J288" s="16">
        <v>2</v>
      </c>
      <c r="K288" s="16">
        <v>0</v>
      </c>
      <c r="L288" s="17">
        <v>0</v>
      </c>
      <c r="M288" s="11"/>
      <c r="N288" s="20">
        <v>0.5</v>
      </c>
      <c r="O288" s="12" t="s">
        <v>333</v>
      </c>
      <c r="P288" s="12" t="s">
        <v>324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x14ac:dyDescent="0.3">
      <c r="A289" s="11"/>
      <c r="B289" s="11"/>
      <c r="C289" s="11" t="s">
        <v>249</v>
      </c>
      <c r="D289" s="11" t="s">
        <v>249</v>
      </c>
      <c r="E289" s="16" t="s">
        <v>307</v>
      </c>
      <c r="F289" s="16">
        <v>0</v>
      </c>
      <c r="G289" s="16">
        <v>0</v>
      </c>
      <c r="H289" s="16">
        <v>0</v>
      </c>
      <c r="I289" s="16">
        <v>0</v>
      </c>
      <c r="J289" s="16">
        <v>1</v>
      </c>
      <c r="K289" s="16">
        <v>0</v>
      </c>
      <c r="L289" s="17">
        <v>0</v>
      </c>
      <c r="M289" s="11"/>
      <c r="N289" s="20">
        <v>0.5</v>
      </c>
      <c r="O289" s="12" t="s">
        <v>333</v>
      </c>
      <c r="P289" s="12" t="s">
        <v>324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x14ac:dyDescent="0.3">
      <c r="A290" s="11"/>
      <c r="B290" s="16" t="s">
        <v>350</v>
      </c>
      <c r="C290" s="11" t="s">
        <v>263</v>
      </c>
      <c r="D290" s="11" t="s">
        <v>263</v>
      </c>
      <c r="E290" s="16" t="s">
        <v>307</v>
      </c>
      <c r="F290" s="16">
        <v>8</v>
      </c>
      <c r="G290" s="16">
        <v>0</v>
      </c>
      <c r="H290" s="16">
        <v>3</v>
      </c>
      <c r="I290" s="16">
        <v>0</v>
      </c>
      <c r="J290" s="16">
        <v>3</v>
      </c>
      <c r="K290" s="16">
        <v>0</v>
      </c>
      <c r="L290" s="17">
        <v>0</v>
      </c>
      <c r="M290" s="11"/>
      <c r="N290" s="20">
        <v>0.5</v>
      </c>
      <c r="O290" s="12" t="s">
        <v>333</v>
      </c>
      <c r="P290" s="12" t="s">
        <v>324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x14ac:dyDescent="0.3">
      <c r="A291" s="11"/>
      <c r="B291" s="16" t="s">
        <v>350</v>
      </c>
      <c r="C291" s="11" t="s">
        <v>254</v>
      </c>
      <c r="D291" s="11" t="s">
        <v>254</v>
      </c>
      <c r="E291" s="16" t="s">
        <v>307</v>
      </c>
      <c r="F291" s="16">
        <v>3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7">
        <v>0</v>
      </c>
      <c r="M291" s="11"/>
      <c r="N291" s="20">
        <v>0.5</v>
      </c>
      <c r="O291" s="12" t="s">
        <v>333</v>
      </c>
      <c r="P291" s="12" t="s">
        <v>324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x14ac:dyDescent="0.3">
      <c r="A292" s="11"/>
      <c r="B292" s="16" t="s">
        <v>350</v>
      </c>
      <c r="C292" s="11" t="s">
        <v>251</v>
      </c>
      <c r="D292" s="11" t="s">
        <v>251</v>
      </c>
      <c r="E292" s="16" t="s">
        <v>307</v>
      </c>
      <c r="F292" s="16">
        <v>2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7">
        <v>0</v>
      </c>
      <c r="M292" s="11"/>
      <c r="N292" s="20">
        <v>0.5</v>
      </c>
      <c r="O292" s="12" t="s">
        <v>333</v>
      </c>
      <c r="P292" s="12" t="s">
        <v>324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x14ac:dyDescent="0.3">
      <c r="A293" s="11"/>
      <c r="B293" s="16" t="s">
        <v>350</v>
      </c>
      <c r="C293" s="11" t="s">
        <v>252</v>
      </c>
      <c r="D293" s="11" t="s">
        <v>252</v>
      </c>
      <c r="E293" s="16" t="s">
        <v>307</v>
      </c>
      <c r="F293" s="16">
        <v>3</v>
      </c>
      <c r="G293" s="16">
        <v>0</v>
      </c>
      <c r="H293" s="16">
        <v>4</v>
      </c>
      <c r="I293" s="16">
        <v>0</v>
      </c>
      <c r="J293" s="16">
        <v>4</v>
      </c>
      <c r="K293" s="16">
        <v>0</v>
      </c>
      <c r="L293" s="17">
        <v>0</v>
      </c>
      <c r="M293" s="11"/>
      <c r="N293" s="20">
        <v>0.5</v>
      </c>
      <c r="O293" s="12" t="s">
        <v>333</v>
      </c>
      <c r="P293" s="12" t="s">
        <v>324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x14ac:dyDescent="0.3">
      <c r="A294" s="11"/>
      <c r="B294" s="16" t="s">
        <v>350</v>
      </c>
      <c r="C294" s="11" t="s">
        <v>253</v>
      </c>
      <c r="D294" s="11" t="s">
        <v>253</v>
      </c>
      <c r="E294" s="16" t="s">
        <v>307</v>
      </c>
      <c r="F294" s="16">
        <v>4</v>
      </c>
      <c r="G294" s="16">
        <v>0</v>
      </c>
      <c r="H294" s="16">
        <v>4</v>
      </c>
      <c r="I294" s="16">
        <v>0</v>
      </c>
      <c r="J294" s="16">
        <v>5</v>
      </c>
      <c r="K294" s="16">
        <v>0</v>
      </c>
      <c r="L294" s="17">
        <v>0</v>
      </c>
      <c r="M294" s="11"/>
      <c r="N294" s="20">
        <v>0.5</v>
      </c>
      <c r="O294" s="12" t="s">
        <v>333</v>
      </c>
      <c r="P294" s="12" t="s">
        <v>324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x14ac:dyDescent="0.3">
      <c r="A295" s="11"/>
      <c r="B295" s="11"/>
      <c r="C295" s="11" t="s">
        <v>404</v>
      </c>
      <c r="D295" s="11" t="s">
        <v>404</v>
      </c>
      <c r="E295" s="16" t="s">
        <v>307</v>
      </c>
      <c r="F295" s="16">
        <v>0</v>
      </c>
      <c r="G295" s="16">
        <v>0</v>
      </c>
      <c r="H295" s="16">
        <v>0</v>
      </c>
      <c r="I295" s="16">
        <v>0</v>
      </c>
      <c r="J295" s="16">
        <v>4</v>
      </c>
      <c r="K295" s="16">
        <v>0</v>
      </c>
      <c r="L295" s="17">
        <v>0</v>
      </c>
      <c r="M295" s="11"/>
      <c r="N295" s="20">
        <v>0.5</v>
      </c>
      <c r="O295" s="12" t="s">
        <v>333</v>
      </c>
      <c r="P295" s="12" t="s">
        <v>324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x14ac:dyDescent="0.3">
      <c r="A296" s="11"/>
      <c r="B296" s="16" t="s">
        <v>350</v>
      </c>
      <c r="C296" s="11" t="s">
        <v>255</v>
      </c>
      <c r="D296" s="11" t="s">
        <v>255</v>
      </c>
      <c r="E296" s="16" t="s">
        <v>307</v>
      </c>
      <c r="F296" s="16">
        <v>3</v>
      </c>
      <c r="G296" s="16">
        <v>0</v>
      </c>
      <c r="H296" s="16">
        <v>4</v>
      </c>
      <c r="I296" s="16">
        <v>0</v>
      </c>
      <c r="J296" s="16">
        <v>4</v>
      </c>
      <c r="K296" s="16">
        <v>0</v>
      </c>
      <c r="L296" s="17">
        <v>0</v>
      </c>
      <c r="M296" s="11"/>
      <c r="N296" s="20">
        <v>0.5</v>
      </c>
      <c r="O296" s="12" t="s">
        <v>333</v>
      </c>
      <c r="P296" s="12" t="s">
        <v>324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x14ac:dyDescent="0.3">
      <c r="A297" s="11"/>
      <c r="B297" s="11"/>
      <c r="C297" s="11" t="s">
        <v>256</v>
      </c>
      <c r="D297" s="11" t="s">
        <v>256</v>
      </c>
      <c r="E297" s="16" t="s">
        <v>307</v>
      </c>
      <c r="F297" s="16">
        <v>0</v>
      </c>
      <c r="G297" s="16">
        <v>0</v>
      </c>
      <c r="H297" s="16">
        <v>4</v>
      </c>
      <c r="I297" s="16">
        <v>0</v>
      </c>
      <c r="J297" s="16">
        <v>0</v>
      </c>
      <c r="K297" s="16">
        <v>0</v>
      </c>
      <c r="L297" s="17">
        <v>0</v>
      </c>
      <c r="M297" s="11"/>
      <c r="N297" s="20">
        <v>0.5</v>
      </c>
      <c r="O297" s="12" t="s">
        <v>333</v>
      </c>
      <c r="P297" s="12" t="s">
        <v>324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x14ac:dyDescent="0.3">
      <c r="A298" s="11"/>
      <c r="B298" s="16" t="s">
        <v>350</v>
      </c>
      <c r="C298" s="11" t="s">
        <v>257</v>
      </c>
      <c r="D298" s="11" t="s">
        <v>257</v>
      </c>
      <c r="E298" s="16" t="s">
        <v>307</v>
      </c>
      <c r="F298" s="16">
        <v>7</v>
      </c>
      <c r="G298" s="16">
        <v>0</v>
      </c>
      <c r="H298" s="16">
        <v>0</v>
      </c>
      <c r="I298" s="16">
        <v>0</v>
      </c>
      <c r="J298" s="16">
        <v>2</v>
      </c>
      <c r="K298" s="16">
        <v>0</v>
      </c>
      <c r="L298" s="17">
        <v>0</v>
      </c>
      <c r="M298" s="11"/>
      <c r="N298" s="20">
        <v>0.5</v>
      </c>
      <c r="O298" s="12" t="s">
        <v>333</v>
      </c>
      <c r="P298" s="12" t="s">
        <v>324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x14ac:dyDescent="0.3">
      <c r="A299" s="11"/>
      <c r="B299" s="16" t="s">
        <v>350</v>
      </c>
      <c r="C299" s="11" t="s">
        <v>261</v>
      </c>
      <c r="D299" s="11" t="s">
        <v>261</v>
      </c>
      <c r="E299" s="16" t="s">
        <v>307</v>
      </c>
      <c r="F299" s="16">
        <v>2</v>
      </c>
      <c r="G299" s="16">
        <v>0</v>
      </c>
      <c r="H299" s="16">
        <v>5</v>
      </c>
      <c r="I299" s="16">
        <v>0</v>
      </c>
      <c r="J299" s="16">
        <v>3</v>
      </c>
      <c r="K299" s="16">
        <v>0</v>
      </c>
      <c r="L299" s="17">
        <v>0</v>
      </c>
      <c r="M299" s="11"/>
      <c r="N299" s="20">
        <v>0.5</v>
      </c>
      <c r="O299" s="12" t="s">
        <v>333</v>
      </c>
      <c r="P299" s="12" t="s">
        <v>324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x14ac:dyDescent="0.3">
      <c r="A300" s="11"/>
      <c r="B300" s="16" t="s">
        <v>350</v>
      </c>
      <c r="C300" s="11" t="s">
        <v>262</v>
      </c>
      <c r="D300" s="11" t="s">
        <v>262</v>
      </c>
      <c r="E300" s="16" t="s">
        <v>307</v>
      </c>
      <c r="F300" s="16">
        <v>2</v>
      </c>
      <c r="G300" s="16">
        <v>0</v>
      </c>
      <c r="H300" s="16">
        <v>2</v>
      </c>
      <c r="I300" s="16">
        <v>0</v>
      </c>
      <c r="J300" s="16">
        <v>2</v>
      </c>
      <c r="K300" s="16">
        <v>0</v>
      </c>
      <c r="L300" s="17">
        <v>0</v>
      </c>
      <c r="M300" s="11"/>
      <c r="N300" s="20">
        <v>0.5</v>
      </c>
      <c r="O300" s="12" t="s">
        <v>333</v>
      </c>
      <c r="P300" s="12" t="s">
        <v>324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x14ac:dyDescent="0.3">
      <c r="A301" s="11"/>
      <c r="B301" s="11"/>
      <c r="C301" s="11" t="s">
        <v>405</v>
      </c>
      <c r="D301" s="11" t="s">
        <v>405</v>
      </c>
      <c r="E301" s="16" t="s">
        <v>307</v>
      </c>
      <c r="F301" s="16">
        <v>0</v>
      </c>
      <c r="G301" s="16">
        <v>0</v>
      </c>
      <c r="H301" s="16">
        <v>3</v>
      </c>
      <c r="I301" s="16">
        <v>0</v>
      </c>
      <c r="J301" s="16">
        <v>0</v>
      </c>
      <c r="K301" s="16">
        <v>0</v>
      </c>
      <c r="L301" s="17">
        <v>0</v>
      </c>
      <c r="M301" s="11"/>
      <c r="N301" s="20">
        <v>0.5</v>
      </c>
      <c r="O301" s="12" t="s">
        <v>333</v>
      </c>
      <c r="P301" s="12" t="s">
        <v>324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x14ac:dyDescent="0.3">
      <c r="A302" s="11"/>
      <c r="B302" s="16" t="s">
        <v>322</v>
      </c>
      <c r="C302" s="11" t="s">
        <v>238</v>
      </c>
      <c r="D302" s="11" t="s">
        <v>238</v>
      </c>
      <c r="E302" s="16" t="s">
        <v>306</v>
      </c>
      <c r="F302" s="16">
        <v>16</v>
      </c>
      <c r="G302" s="16">
        <v>0</v>
      </c>
      <c r="H302" s="16">
        <v>4</v>
      </c>
      <c r="I302" s="16">
        <v>0</v>
      </c>
      <c r="J302" s="16">
        <v>2</v>
      </c>
      <c r="K302" s="16">
        <v>0</v>
      </c>
      <c r="L302" s="17">
        <v>0</v>
      </c>
      <c r="M302" s="20">
        <v>0.5</v>
      </c>
      <c r="N302" s="11"/>
      <c r="O302" s="12" t="s">
        <v>333</v>
      </c>
      <c r="P302" s="12" t="s">
        <v>324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x14ac:dyDescent="0.3">
      <c r="A303" s="11"/>
      <c r="B303" s="16" t="s">
        <v>322</v>
      </c>
      <c r="C303" s="11" t="s">
        <v>285</v>
      </c>
      <c r="D303" s="11" t="s">
        <v>285</v>
      </c>
      <c r="E303" s="16" t="s">
        <v>306</v>
      </c>
      <c r="F303" s="16">
        <v>1</v>
      </c>
      <c r="G303" s="16">
        <v>1</v>
      </c>
      <c r="H303" s="16">
        <v>4</v>
      </c>
      <c r="I303" s="16">
        <v>0</v>
      </c>
      <c r="J303" s="16">
        <v>5</v>
      </c>
      <c r="K303" s="16">
        <v>1</v>
      </c>
      <c r="L303" s="17">
        <v>0.2</v>
      </c>
      <c r="M303" s="18">
        <v>1</v>
      </c>
      <c r="N303" s="11"/>
      <c r="O303" s="12" t="s">
        <v>323</v>
      </c>
      <c r="P303" s="12" t="s">
        <v>324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x14ac:dyDescent="0.3">
      <c r="A304" s="11"/>
      <c r="B304" s="16" t="s">
        <v>322</v>
      </c>
      <c r="C304" s="11" t="s">
        <v>279</v>
      </c>
      <c r="D304" s="11" t="s">
        <v>279</v>
      </c>
      <c r="E304" s="16" t="s">
        <v>306</v>
      </c>
      <c r="F304" s="16">
        <v>1</v>
      </c>
      <c r="G304" s="16">
        <v>0</v>
      </c>
      <c r="H304" s="16">
        <v>4</v>
      </c>
      <c r="I304" s="16">
        <v>0</v>
      </c>
      <c r="J304" s="16">
        <v>0</v>
      </c>
      <c r="K304" s="16">
        <v>0</v>
      </c>
      <c r="L304" s="17">
        <v>0</v>
      </c>
      <c r="M304" s="20">
        <v>0.5</v>
      </c>
      <c r="N304" s="11"/>
      <c r="O304" s="12" t="s">
        <v>333</v>
      </c>
      <c r="P304" s="12" t="s">
        <v>324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x14ac:dyDescent="0.3">
      <c r="A305" s="11"/>
      <c r="B305" s="16" t="s">
        <v>322</v>
      </c>
      <c r="C305" s="11" t="s">
        <v>231</v>
      </c>
      <c r="D305" s="11" t="s">
        <v>231</v>
      </c>
      <c r="E305" s="16" t="s">
        <v>306</v>
      </c>
      <c r="F305" s="16">
        <v>7</v>
      </c>
      <c r="G305" s="16">
        <v>2</v>
      </c>
      <c r="H305" s="16">
        <v>10</v>
      </c>
      <c r="I305" s="16">
        <v>0</v>
      </c>
      <c r="J305" s="16">
        <v>5</v>
      </c>
      <c r="K305" s="16">
        <v>1</v>
      </c>
      <c r="L305" s="17">
        <v>0.13639999999999999</v>
      </c>
      <c r="M305" s="18">
        <v>1</v>
      </c>
      <c r="N305" s="11"/>
      <c r="O305" s="12" t="s">
        <v>323</v>
      </c>
      <c r="P305" s="12" t="s">
        <v>324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x14ac:dyDescent="0.3">
      <c r="A306" s="11"/>
      <c r="B306" s="11"/>
      <c r="C306" s="11" t="s">
        <v>273</v>
      </c>
      <c r="D306" s="11" t="s">
        <v>273</v>
      </c>
      <c r="E306" s="16" t="s">
        <v>306</v>
      </c>
      <c r="F306" s="16">
        <v>0</v>
      </c>
      <c r="G306" s="16">
        <v>0</v>
      </c>
      <c r="H306" s="16">
        <v>4</v>
      </c>
      <c r="I306" s="16">
        <v>0</v>
      </c>
      <c r="J306" s="16">
        <v>0</v>
      </c>
      <c r="K306" s="16">
        <v>0</v>
      </c>
      <c r="L306" s="17">
        <v>0</v>
      </c>
      <c r="M306" s="20">
        <v>0.5</v>
      </c>
      <c r="N306" s="11"/>
      <c r="O306" s="12" t="s">
        <v>333</v>
      </c>
      <c r="P306" s="12" t="s">
        <v>324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x14ac:dyDescent="0.3">
      <c r="A307" s="11"/>
      <c r="B307" s="16" t="s">
        <v>322</v>
      </c>
      <c r="C307" s="11" t="s">
        <v>351</v>
      </c>
      <c r="D307" s="11" t="s">
        <v>351</v>
      </c>
      <c r="E307" s="16" t="s">
        <v>306</v>
      </c>
      <c r="F307" s="16">
        <v>1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7">
        <v>0</v>
      </c>
      <c r="M307" s="20">
        <v>0.5</v>
      </c>
      <c r="N307" s="11"/>
      <c r="O307" s="12" t="s">
        <v>333</v>
      </c>
      <c r="P307" s="12" t="s">
        <v>324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x14ac:dyDescent="0.3">
      <c r="A308" s="11"/>
      <c r="B308" s="16" t="s">
        <v>322</v>
      </c>
      <c r="C308" s="11" t="s">
        <v>292</v>
      </c>
      <c r="D308" s="11" t="s">
        <v>292</v>
      </c>
      <c r="E308" s="16" t="s">
        <v>306</v>
      </c>
      <c r="F308" s="16">
        <v>121</v>
      </c>
      <c r="G308" s="16">
        <v>7</v>
      </c>
      <c r="H308" s="16">
        <v>20</v>
      </c>
      <c r="I308" s="16">
        <v>6</v>
      </c>
      <c r="J308" s="16">
        <v>28</v>
      </c>
      <c r="K308" s="16">
        <v>10</v>
      </c>
      <c r="L308" s="17">
        <v>0.1361</v>
      </c>
      <c r="M308" s="18">
        <v>1</v>
      </c>
      <c r="N308" s="11"/>
      <c r="O308" s="12" t="s">
        <v>323</v>
      </c>
      <c r="P308" s="12" t="s">
        <v>324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x14ac:dyDescent="0.3">
      <c r="A312" s="6"/>
      <c r="B312" s="6"/>
      <c r="C312" s="6"/>
      <c r="D312" s="6"/>
      <c r="E312" s="6"/>
      <c r="F312" s="7">
        <v>4397</v>
      </c>
      <c r="G312" s="7">
        <v>558</v>
      </c>
      <c r="H312" s="7">
        <v>1475</v>
      </c>
      <c r="I312" s="7">
        <v>395</v>
      </c>
      <c r="J312" s="7">
        <v>1354</v>
      </c>
      <c r="K312" s="7">
        <v>109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31" customHeight="1" x14ac:dyDescent="0.3">
      <c r="A313" s="6"/>
      <c r="B313" s="6"/>
      <c r="C313" s="6"/>
      <c r="D313" s="6"/>
      <c r="E313" s="6"/>
      <c r="F313" s="6"/>
      <c r="G313" s="6"/>
      <c r="H313" s="41" t="s">
        <v>352</v>
      </c>
      <c r="I313" s="4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x14ac:dyDescent="0.3">
      <c r="A314" s="6"/>
      <c r="B314" s="6"/>
      <c r="C314" s="6"/>
      <c r="D314" s="6"/>
      <c r="E314" s="6"/>
      <c r="F314" s="7">
        <v>4397</v>
      </c>
      <c r="G314" s="7">
        <v>558</v>
      </c>
      <c r="H314" s="7">
        <v>1061</v>
      </c>
      <c r="I314" s="7">
        <v>126</v>
      </c>
      <c r="J314" s="7">
        <v>1354</v>
      </c>
      <c r="K314" s="7">
        <v>109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1:35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1:35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1:35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1:35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1:35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1:35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1:35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1:35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1:35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1:35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1:35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1:35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1:35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1:35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1:35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1:35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1:35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1:35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1:35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1:35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1:35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1:35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1:35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1:35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1:35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1:35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1:35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1:35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1:35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1:35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1:35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1:35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1:35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1:35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1:35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1:35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1:35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1:35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1:35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1:35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1:35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1:35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1:35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1:35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1:35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1:35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1:35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1:35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1:35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1:35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1:35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1:35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1:35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1:35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spans="1:35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spans="1:35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spans="1:35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spans="1:35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spans="1:35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spans="1:35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spans="1:35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spans="1:35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</sheetData>
  <autoFilter ref="A5:P308" xr:uid="{111710E2-E555-46AD-A279-E824A8A1951E}">
    <filterColumn colId="5" showButton="0"/>
    <filterColumn colId="7" showButton="0"/>
    <filterColumn colId="9" showButton="0"/>
  </autoFilter>
  <mergeCells count="9">
    <mergeCell ref="R6:S6"/>
    <mergeCell ref="T6:U6"/>
    <mergeCell ref="H313:I313"/>
    <mergeCell ref="A1:F1"/>
    <mergeCell ref="A2:F2"/>
    <mergeCell ref="A3:F3"/>
    <mergeCell ref="F5:G5"/>
    <mergeCell ref="H5:I5"/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D10A-A233-416D-BE21-0D4385384077}">
  <sheetPr codeName="Sheet5"/>
  <dimension ref="A1:O650"/>
  <sheetViews>
    <sheetView tabSelected="1" zoomScale="90" zoomScaleNormal="90" workbookViewId="0">
      <selection activeCell="B52" sqref="B52"/>
    </sheetView>
  </sheetViews>
  <sheetFormatPr defaultRowHeight="12.5" x14ac:dyDescent="0.25"/>
  <cols>
    <col min="1" max="1" width="3.1796875" style="30" customWidth="1"/>
    <col min="2" max="2" width="71.26953125" style="30" bestFit="1" customWidth="1"/>
    <col min="3" max="3" width="6.7265625" style="30" bestFit="1" customWidth="1"/>
    <col min="4" max="13" width="8.7265625" style="30"/>
    <col min="14" max="14" width="16.36328125" style="30" bestFit="1" customWidth="1"/>
    <col min="15" max="15" width="19.453125" style="30" bestFit="1" customWidth="1"/>
    <col min="16" max="16384" width="8.7265625" style="30"/>
  </cols>
  <sheetData>
    <row r="1" spans="1:15" x14ac:dyDescent="0.25">
      <c r="A1" s="44" t="s">
        <v>0</v>
      </c>
      <c r="B1" s="44" t="s">
        <v>708</v>
      </c>
      <c r="C1" s="44" t="s">
        <v>709</v>
      </c>
      <c r="D1" s="45">
        <v>2022</v>
      </c>
      <c r="E1" s="45"/>
      <c r="F1" s="45">
        <v>2023</v>
      </c>
      <c r="G1" s="45"/>
      <c r="H1" s="45">
        <v>2024</v>
      </c>
      <c r="I1" s="45"/>
      <c r="J1" s="45" t="s">
        <v>710</v>
      </c>
      <c r="K1" s="45"/>
      <c r="L1" s="45"/>
      <c r="M1" s="44" t="s">
        <v>712</v>
      </c>
      <c r="N1" s="44" t="s">
        <v>713</v>
      </c>
      <c r="O1" s="44" t="s">
        <v>714</v>
      </c>
    </row>
    <row r="2" spans="1:15" x14ac:dyDescent="0.25">
      <c r="A2" s="44"/>
      <c r="B2" s="44"/>
      <c r="C2" s="44"/>
      <c r="D2" s="34" t="s">
        <v>706</v>
      </c>
      <c r="E2" s="34" t="s">
        <v>707</v>
      </c>
      <c r="F2" s="34" t="s">
        <v>706</v>
      </c>
      <c r="G2" s="34" t="s">
        <v>707</v>
      </c>
      <c r="H2" s="34" t="s">
        <v>706</v>
      </c>
      <c r="I2" s="34" t="s">
        <v>707</v>
      </c>
      <c r="J2" s="34" t="s">
        <v>706</v>
      </c>
      <c r="K2" s="34" t="s">
        <v>707</v>
      </c>
      <c r="L2" s="34" t="s">
        <v>711</v>
      </c>
      <c r="M2" s="44"/>
      <c r="N2" s="44"/>
      <c r="O2" s="44"/>
    </row>
    <row r="3" spans="1:15" x14ac:dyDescent="0.25">
      <c r="A3" s="35"/>
      <c r="B3" s="35" t="s">
        <v>408</v>
      </c>
      <c r="C3" s="35" t="s">
        <v>306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7">
        <f>D3+F3+H3</f>
        <v>0</v>
      </c>
      <c r="K3" s="37">
        <f>E3+G3+I3</f>
        <v>0</v>
      </c>
      <c r="L3" s="38" t="e">
        <v>#DIV/0!</v>
      </c>
      <c r="M3" s="39">
        <v>0</v>
      </c>
      <c r="N3" s="35" t="str">
        <f>_xlfn.IFS(AND(C3="KL",M3="3"),"Sangat Memuaskan",AND(C3="Pemda",M3="3,5"),"Sangat Memuaskan",AND(C3="KL",M3="2"),"Memuaskan",AND(C3="Pemda",M3="2,5"),"Memuaskan",AND(C3="KL",M3="1"),"Sangat Baik",AND(C3="Pemda",M3="1,5"),"Sangat Baik",AND(C3="KL",M3="0,75"),"Baik",AND(C3="Pemda",M3="0,75"),"Baik",AND(C3="KL",M3="0,5"),"Cukup",AND(C3="Pemda",M3="0,5"),"Cukup",AND(C3="KL",M3&lt;0.5),"Kurang",AND(C3="Pemda",M3&lt;0.5),"Kurang")</f>
        <v>Kurang</v>
      </c>
      <c r="O3" s="35" t="str">
        <f>IF(N3="Kurang","Isi Rekomendasi","Terlampir Pada LHE ZI")</f>
        <v>Isi Rekomendasi</v>
      </c>
    </row>
    <row r="4" spans="1:15" x14ac:dyDescent="0.25">
      <c r="A4" s="35"/>
      <c r="B4" s="35" t="s">
        <v>3</v>
      </c>
      <c r="C4" s="35" t="s">
        <v>307</v>
      </c>
      <c r="D4" s="36">
        <v>0</v>
      </c>
      <c r="E4" s="36">
        <v>0</v>
      </c>
      <c r="F4" s="36">
        <v>0</v>
      </c>
      <c r="G4" s="36">
        <v>0</v>
      </c>
      <c r="H4" s="36">
        <v>1</v>
      </c>
      <c r="I4" s="36">
        <v>0</v>
      </c>
      <c r="J4" s="37">
        <f t="shared" ref="J4:J67" si="0">D4+F4+H4</f>
        <v>1</v>
      </c>
      <c r="K4" s="37">
        <f t="shared" ref="K4:K67" si="1">E4+G4+I4</f>
        <v>0</v>
      </c>
      <c r="L4" s="38">
        <f>K4/J4</f>
        <v>0</v>
      </c>
      <c r="M4" s="39" t="str">
        <f t="shared" ref="M4:M67" si="2">IF(AND(C4="KL",L4&gt;75%),"3",IF(AND(C4="KL",L4&gt;40%),"2",IF(AND(C4="KL",L4&gt;10%),"1",IF(AND(C4="KL",L4&gt;0.1%),"0,75",IF(AND(C4="KL",L4&gt;=0%),"0,5",IF(AND(C4="Pemda",L4&gt;75%),"3,5",IF(AND(C4="Pemda",L4&gt;40%),"2,5",IF(AND(C4="Pemda",L4&gt;10%),"1,5",IF(AND(C4="Pemda",L4&gt;0.1%),"0,75",IF(AND(C4="Pemda",L4&gt;=0%),"0,5","0"))))))))))</f>
        <v>0,5</v>
      </c>
      <c r="N4" s="35" t="str">
        <f t="shared" ref="N4:N67" si="3">_xlfn.IFS(AND(C4="KL",M4="3"),"Sangat Memuaskan",AND(C4="Pemda",M4="3,5"),"Sangat Memuaskan",AND(C4="KL",M4="2"),"Memuaskan",AND(C4="Pemda",M4="2,5"),"Memuaskan",AND(C4="KL",M4="1"),"Sangat Baik",AND(C4="Pemda",M4="1,5"),"Sangat Baik",AND(C4="KL",M4="0,75"),"Baik",AND(C4="Pemda",M4="0,75"),"Baik",AND(C4="KL",M4="0,5"),"Cukup",AND(C4="Pemda",M4="0,5"),"Cukup",AND(C4="KL",M4&lt;0.5),"Kurang",AND(C4="Pemda",M4&lt;0.5),"Kurang")</f>
        <v>Cukup</v>
      </c>
      <c r="O4" s="35" t="str">
        <f t="shared" ref="O4:O67" si="4">IF(N4="Kurang","Isi Rekomendasi","Terlampir Pada LHE ZI")</f>
        <v>Terlampir Pada LHE ZI</v>
      </c>
    </row>
    <row r="5" spans="1:15" x14ac:dyDescent="0.25">
      <c r="A5" s="35"/>
      <c r="B5" s="35" t="s">
        <v>4</v>
      </c>
      <c r="C5" s="35" t="s">
        <v>307</v>
      </c>
      <c r="D5" s="36">
        <v>0</v>
      </c>
      <c r="E5" s="36">
        <v>0</v>
      </c>
      <c r="F5" s="36">
        <v>0</v>
      </c>
      <c r="G5" s="36">
        <v>0</v>
      </c>
      <c r="H5" s="36">
        <v>1</v>
      </c>
      <c r="I5" s="36">
        <v>0</v>
      </c>
      <c r="J5" s="37">
        <f t="shared" si="0"/>
        <v>1</v>
      </c>
      <c r="K5" s="37">
        <f t="shared" si="1"/>
        <v>0</v>
      </c>
      <c r="L5" s="38">
        <f>K5/J5</f>
        <v>0</v>
      </c>
      <c r="M5" s="39" t="str">
        <f t="shared" si="2"/>
        <v>0,5</v>
      </c>
      <c r="N5" s="35" t="str">
        <f t="shared" si="3"/>
        <v>Cukup</v>
      </c>
      <c r="O5" s="35" t="str">
        <f t="shared" si="4"/>
        <v>Terlampir Pada LHE ZI</v>
      </c>
    </row>
    <row r="6" spans="1:15" x14ac:dyDescent="0.25">
      <c r="A6" s="35"/>
      <c r="B6" s="35" t="s">
        <v>409</v>
      </c>
      <c r="C6" s="35" t="s">
        <v>307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7">
        <f t="shared" si="0"/>
        <v>0</v>
      </c>
      <c r="K6" s="37">
        <f t="shared" si="1"/>
        <v>0</v>
      </c>
      <c r="L6" s="38" t="e">
        <v>#DIV/0!</v>
      </c>
      <c r="M6" s="39">
        <v>0</v>
      </c>
      <c r="N6" s="35" t="str">
        <f t="shared" si="3"/>
        <v>Kurang</v>
      </c>
      <c r="O6" s="35" t="str">
        <f t="shared" si="4"/>
        <v>Isi Rekomendasi</v>
      </c>
    </row>
    <row r="7" spans="1:15" x14ac:dyDescent="0.25">
      <c r="A7" s="35"/>
      <c r="B7" s="35" t="s">
        <v>5</v>
      </c>
      <c r="C7" s="35" t="s">
        <v>307</v>
      </c>
      <c r="D7" s="36">
        <v>0</v>
      </c>
      <c r="E7" s="36">
        <v>0</v>
      </c>
      <c r="F7" s="36">
        <v>0</v>
      </c>
      <c r="G7" s="36">
        <v>0</v>
      </c>
      <c r="H7" s="36">
        <v>5</v>
      </c>
      <c r="I7" s="36">
        <v>0</v>
      </c>
      <c r="J7" s="37">
        <f t="shared" si="0"/>
        <v>5</v>
      </c>
      <c r="K7" s="37">
        <f t="shared" si="1"/>
        <v>0</v>
      </c>
      <c r="L7" s="38">
        <f>K7/J7</f>
        <v>0</v>
      </c>
      <c r="M7" s="39" t="str">
        <f t="shared" si="2"/>
        <v>0,5</v>
      </c>
      <c r="N7" s="35" t="str">
        <f t="shared" si="3"/>
        <v>Cukup</v>
      </c>
      <c r="O7" s="35" t="str">
        <f t="shared" si="4"/>
        <v>Terlampir Pada LHE ZI</v>
      </c>
    </row>
    <row r="8" spans="1:15" x14ac:dyDescent="0.25">
      <c r="A8" s="35"/>
      <c r="B8" s="35" t="s">
        <v>6</v>
      </c>
      <c r="C8" s="35" t="s">
        <v>307</v>
      </c>
      <c r="D8" s="36">
        <v>3</v>
      </c>
      <c r="E8" s="36">
        <v>0</v>
      </c>
      <c r="F8" s="36">
        <v>5</v>
      </c>
      <c r="G8" s="36">
        <v>0</v>
      </c>
      <c r="H8" s="36">
        <v>5</v>
      </c>
      <c r="I8" s="36">
        <v>1</v>
      </c>
      <c r="J8" s="37">
        <f t="shared" si="0"/>
        <v>13</v>
      </c>
      <c r="K8" s="37">
        <f t="shared" si="1"/>
        <v>1</v>
      </c>
      <c r="L8" s="38">
        <f>K8/J8</f>
        <v>7.6923076923076927E-2</v>
      </c>
      <c r="M8" s="39" t="str">
        <f>IF(AND(C8="KL",L8&gt;75%),"3",IF(AND(C8="KL",L8&gt;40%),"2",IF(AND(C8="KL",L8&gt;10%),"1",IF(AND(C8="KL",L8&gt;0.1%),"0,75",IF(AND(C8="KL",L8&gt;=0%),"0,5",IF(AND(C8="Pemda",L8&gt;75%),"3,5",IF(AND(C8="Pemda",L8&gt;40%),"2,5",IF(AND(C8="Pemda",L8&gt;10%),"1,5",IF(AND(C8="Pemda",L8&gt;0.1%),"0,75",IF(AND(C8="Pemda",L8&gt;=0%),"0,5","0"))))))))))</f>
        <v>0,75</v>
      </c>
      <c r="N8" s="35" t="str">
        <f t="shared" si="3"/>
        <v>Baik</v>
      </c>
      <c r="O8" s="35" t="str">
        <f t="shared" si="4"/>
        <v>Terlampir Pada LHE ZI</v>
      </c>
    </row>
    <row r="9" spans="1:15" x14ac:dyDescent="0.25">
      <c r="A9" s="35"/>
      <c r="B9" s="35" t="s">
        <v>410</v>
      </c>
      <c r="C9" s="35" t="s">
        <v>307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7">
        <f t="shared" si="0"/>
        <v>0</v>
      </c>
      <c r="K9" s="37">
        <f t="shared" si="1"/>
        <v>0</v>
      </c>
      <c r="L9" s="38" t="e">
        <v>#DIV/0!</v>
      </c>
      <c r="M9" s="39">
        <v>0</v>
      </c>
      <c r="N9" s="35" t="str">
        <f t="shared" si="3"/>
        <v>Kurang</v>
      </c>
      <c r="O9" s="35" t="str">
        <f t="shared" si="4"/>
        <v>Isi Rekomendasi</v>
      </c>
    </row>
    <row r="10" spans="1:15" x14ac:dyDescent="0.25">
      <c r="A10" s="35"/>
      <c r="B10" s="35" t="s">
        <v>7</v>
      </c>
      <c r="C10" s="35" t="s">
        <v>307</v>
      </c>
      <c r="D10" s="36">
        <v>3</v>
      </c>
      <c r="E10" s="36">
        <v>0</v>
      </c>
      <c r="F10" s="36">
        <v>5</v>
      </c>
      <c r="G10" s="36">
        <v>1</v>
      </c>
      <c r="H10" s="36">
        <v>5</v>
      </c>
      <c r="I10" s="36">
        <v>0</v>
      </c>
      <c r="J10" s="37">
        <f t="shared" si="0"/>
        <v>13</v>
      </c>
      <c r="K10" s="37">
        <f t="shared" si="1"/>
        <v>1</v>
      </c>
      <c r="L10" s="38">
        <f>K10/J10</f>
        <v>7.6923076923076927E-2</v>
      </c>
      <c r="M10" s="39" t="str">
        <f t="shared" si="2"/>
        <v>0,75</v>
      </c>
      <c r="N10" s="35" t="str">
        <f t="shared" si="3"/>
        <v>Baik</v>
      </c>
      <c r="O10" s="35" t="str">
        <f t="shared" si="4"/>
        <v>Terlampir Pada LHE ZI</v>
      </c>
    </row>
    <row r="11" spans="1:15" x14ac:dyDescent="0.25">
      <c r="A11" s="35"/>
      <c r="B11" s="35" t="s">
        <v>359</v>
      </c>
      <c r="C11" s="35" t="s">
        <v>307</v>
      </c>
      <c r="D11" s="36">
        <v>3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7">
        <f t="shared" si="0"/>
        <v>3</v>
      </c>
      <c r="K11" s="37">
        <f t="shared" si="1"/>
        <v>0</v>
      </c>
      <c r="L11" s="38">
        <f>K11/J11</f>
        <v>0</v>
      </c>
      <c r="M11" s="39" t="str">
        <f t="shared" si="2"/>
        <v>0,5</v>
      </c>
      <c r="N11" s="35" t="str">
        <f t="shared" si="3"/>
        <v>Cukup</v>
      </c>
      <c r="O11" s="35" t="str">
        <f t="shared" si="4"/>
        <v>Terlampir Pada LHE ZI</v>
      </c>
    </row>
    <row r="12" spans="1:15" x14ac:dyDescent="0.25">
      <c r="A12" s="35"/>
      <c r="B12" s="35" t="s">
        <v>8</v>
      </c>
      <c r="C12" s="35" t="s">
        <v>307</v>
      </c>
      <c r="D12" s="36">
        <v>0</v>
      </c>
      <c r="E12" s="36">
        <v>0</v>
      </c>
      <c r="F12" s="36">
        <v>6</v>
      </c>
      <c r="G12" s="36">
        <v>0</v>
      </c>
      <c r="H12" s="36">
        <v>3</v>
      </c>
      <c r="I12" s="36">
        <v>1</v>
      </c>
      <c r="J12" s="37">
        <f t="shared" si="0"/>
        <v>9</v>
      </c>
      <c r="K12" s="37">
        <f t="shared" si="1"/>
        <v>1</v>
      </c>
      <c r="L12" s="38">
        <f>K12/J12</f>
        <v>0.1111111111111111</v>
      </c>
      <c r="M12" s="39" t="str">
        <f t="shared" si="2"/>
        <v>1,5</v>
      </c>
      <c r="N12" s="35" t="str">
        <f t="shared" si="3"/>
        <v>Sangat Baik</v>
      </c>
      <c r="O12" s="35" t="str">
        <f t="shared" si="4"/>
        <v>Terlampir Pada LHE ZI</v>
      </c>
    </row>
    <row r="13" spans="1:15" x14ac:dyDescent="0.25">
      <c r="A13" s="35"/>
      <c r="B13" s="35" t="s">
        <v>411</v>
      </c>
      <c r="C13" s="35" t="s">
        <v>307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7">
        <f t="shared" si="0"/>
        <v>0</v>
      </c>
      <c r="K13" s="37">
        <f t="shared" si="1"/>
        <v>0</v>
      </c>
      <c r="L13" s="38" t="e">
        <v>#DIV/0!</v>
      </c>
      <c r="M13" s="39">
        <v>0</v>
      </c>
      <c r="N13" s="35" t="str">
        <f t="shared" si="3"/>
        <v>Kurang</v>
      </c>
      <c r="O13" s="35" t="str">
        <f t="shared" si="4"/>
        <v>Isi Rekomendasi</v>
      </c>
    </row>
    <row r="14" spans="1:15" x14ac:dyDescent="0.25">
      <c r="A14" s="35"/>
      <c r="B14" s="35" t="s">
        <v>412</v>
      </c>
      <c r="C14" s="35" t="s">
        <v>307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7">
        <f t="shared" si="0"/>
        <v>0</v>
      </c>
      <c r="K14" s="37">
        <f t="shared" si="1"/>
        <v>0</v>
      </c>
      <c r="L14" s="38" t="e">
        <v>#DIV/0!</v>
      </c>
      <c r="M14" s="39">
        <v>0</v>
      </c>
      <c r="N14" s="35" t="str">
        <f t="shared" si="3"/>
        <v>Kurang</v>
      </c>
      <c r="O14" s="35" t="str">
        <f t="shared" si="4"/>
        <v>Isi Rekomendasi</v>
      </c>
    </row>
    <row r="15" spans="1:15" x14ac:dyDescent="0.25">
      <c r="A15" s="35"/>
      <c r="B15" s="35" t="s">
        <v>413</v>
      </c>
      <c r="C15" s="35" t="s">
        <v>307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7">
        <f t="shared" si="0"/>
        <v>0</v>
      </c>
      <c r="K15" s="37">
        <f t="shared" si="1"/>
        <v>0</v>
      </c>
      <c r="L15" s="38" t="e">
        <v>#DIV/0!</v>
      </c>
      <c r="M15" s="39">
        <v>0</v>
      </c>
      <c r="N15" s="35" t="str">
        <f t="shared" si="3"/>
        <v>Kurang</v>
      </c>
      <c r="O15" s="35" t="str">
        <f t="shared" si="4"/>
        <v>Isi Rekomendasi</v>
      </c>
    </row>
    <row r="16" spans="1:15" x14ac:dyDescent="0.25">
      <c r="A16" s="35"/>
      <c r="B16" s="35" t="s">
        <v>362</v>
      </c>
      <c r="C16" s="35" t="s">
        <v>307</v>
      </c>
      <c r="D16" s="36">
        <v>3</v>
      </c>
      <c r="E16" s="36">
        <v>0</v>
      </c>
      <c r="F16" s="36">
        <v>3</v>
      </c>
      <c r="G16" s="36">
        <v>0</v>
      </c>
      <c r="H16" s="36">
        <v>0</v>
      </c>
      <c r="I16" s="36">
        <v>0</v>
      </c>
      <c r="J16" s="37">
        <f t="shared" si="0"/>
        <v>6</v>
      </c>
      <c r="K16" s="37">
        <f t="shared" si="1"/>
        <v>0</v>
      </c>
      <c r="L16" s="38">
        <f>K16/J16</f>
        <v>0</v>
      </c>
      <c r="M16" s="39" t="str">
        <f t="shared" si="2"/>
        <v>0,5</v>
      </c>
      <c r="N16" s="35" t="str">
        <f t="shared" si="3"/>
        <v>Cukup</v>
      </c>
      <c r="O16" s="35" t="str">
        <f t="shared" si="4"/>
        <v>Terlampir Pada LHE ZI</v>
      </c>
    </row>
    <row r="17" spans="1:15" x14ac:dyDescent="0.25">
      <c r="A17" s="35"/>
      <c r="B17" s="35" t="s">
        <v>363</v>
      </c>
      <c r="C17" s="35" t="s">
        <v>307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7">
        <f t="shared" si="0"/>
        <v>0</v>
      </c>
      <c r="K17" s="37">
        <f t="shared" si="1"/>
        <v>0</v>
      </c>
      <c r="L17" s="38" t="e">
        <v>#DIV/0!</v>
      </c>
      <c r="M17" s="39">
        <v>0</v>
      </c>
      <c r="N17" s="35" t="str">
        <f t="shared" si="3"/>
        <v>Kurang</v>
      </c>
      <c r="O17" s="35" t="str">
        <f t="shared" si="4"/>
        <v>Isi Rekomendasi</v>
      </c>
    </row>
    <row r="18" spans="1:15" x14ac:dyDescent="0.25">
      <c r="A18" s="35"/>
      <c r="B18" s="35" t="s">
        <v>9</v>
      </c>
      <c r="C18" s="35" t="s">
        <v>307</v>
      </c>
      <c r="D18" s="36">
        <v>3</v>
      </c>
      <c r="E18" s="36">
        <v>0</v>
      </c>
      <c r="F18" s="36">
        <v>17</v>
      </c>
      <c r="G18" s="36">
        <v>1</v>
      </c>
      <c r="H18" s="36">
        <v>4</v>
      </c>
      <c r="I18" s="36">
        <v>0</v>
      </c>
      <c r="J18" s="37">
        <f t="shared" si="0"/>
        <v>24</v>
      </c>
      <c r="K18" s="37">
        <f t="shared" si="1"/>
        <v>1</v>
      </c>
      <c r="L18" s="38">
        <f>K18/J18</f>
        <v>4.1666666666666664E-2</v>
      </c>
      <c r="M18" s="39" t="str">
        <f t="shared" si="2"/>
        <v>0,75</v>
      </c>
      <c r="N18" s="35" t="str">
        <f t="shared" si="3"/>
        <v>Baik</v>
      </c>
      <c r="O18" s="35" t="str">
        <f t="shared" si="4"/>
        <v>Terlampir Pada LHE ZI</v>
      </c>
    </row>
    <row r="19" spans="1:15" x14ac:dyDescent="0.25">
      <c r="A19" s="35"/>
      <c r="B19" s="35" t="s">
        <v>414</v>
      </c>
      <c r="C19" s="35" t="s">
        <v>307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7">
        <f t="shared" si="0"/>
        <v>0</v>
      </c>
      <c r="K19" s="37">
        <f t="shared" si="1"/>
        <v>0</v>
      </c>
      <c r="L19" s="38" t="e">
        <v>#DIV/0!</v>
      </c>
      <c r="M19" s="39">
        <v>0</v>
      </c>
      <c r="N19" s="35" t="str">
        <f t="shared" si="3"/>
        <v>Kurang</v>
      </c>
      <c r="O19" s="35" t="str">
        <f t="shared" si="4"/>
        <v>Isi Rekomendasi</v>
      </c>
    </row>
    <row r="20" spans="1:15" x14ac:dyDescent="0.25">
      <c r="A20" s="35"/>
      <c r="B20" s="35" t="s">
        <v>415</v>
      </c>
      <c r="C20" s="35" t="s">
        <v>307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7">
        <f t="shared" si="0"/>
        <v>0</v>
      </c>
      <c r="K20" s="37">
        <f t="shared" si="1"/>
        <v>0</v>
      </c>
      <c r="L20" s="38" t="e">
        <v>#DIV/0!</v>
      </c>
      <c r="M20" s="39">
        <v>0</v>
      </c>
      <c r="N20" s="35" t="str">
        <f t="shared" si="3"/>
        <v>Kurang</v>
      </c>
      <c r="O20" s="35" t="str">
        <f t="shared" si="4"/>
        <v>Isi Rekomendasi</v>
      </c>
    </row>
    <row r="21" spans="1:15" x14ac:dyDescent="0.25">
      <c r="A21" s="35"/>
      <c r="B21" s="35" t="s">
        <v>387</v>
      </c>
      <c r="C21" s="35" t="s">
        <v>307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7">
        <f t="shared" si="0"/>
        <v>0</v>
      </c>
      <c r="K21" s="37">
        <f t="shared" si="1"/>
        <v>0</v>
      </c>
      <c r="L21" s="38" t="e">
        <v>#DIV/0!</v>
      </c>
      <c r="M21" s="39">
        <v>0</v>
      </c>
      <c r="N21" s="35" t="str">
        <f t="shared" si="3"/>
        <v>Kurang</v>
      </c>
      <c r="O21" s="35" t="str">
        <f t="shared" si="4"/>
        <v>Isi Rekomendasi</v>
      </c>
    </row>
    <row r="22" spans="1:15" x14ac:dyDescent="0.25">
      <c r="A22" s="35"/>
      <c r="B22" s="35" t="s">
        <v>416</v>
      </c>
      <c r="C22" s="35" t="s">
        <v>307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7">
        <f t="shared" si="0"/>
        <v>0</v>
      </c>
      <c r="K22" s="37">
        <f t="shared" si="1"/>
        <v>0</v>
      </c>
      <c r="L22" s="38" t="e">
        <v>#DIV/0!</v>
      </c>
      <c r="M22" s="39">
        <v>0</v>
      </c>
      <c r="N22" s="35" t="str">
        <f t="shared" si="3"/>
        <v>Kurang</v>
      </c>
      <c r="O22" s="35" t="str">
        <f t="shared" si="4"/>
        <v>Isi Rekomendasi</v>
      </c>
    </row>
    <row r="23" spans="1:15" x14ac:dyDescent="0.25">
      <c r="A23" s="35"/>
      <c r="B23" s="35" t="s">
        <v>10</v>
      </c>
      <c r="C23" s="35" t="s">
        <v>307</v>
      </c>
      <c r="D23" s="36">
        <v>2</v>
      </c>
      <c r="E23" s="36">
        <v>0</v>
      </c>
      <c r="F23" s="36">
        <v>4</v>
      </c>
      <c r="G23" s="36">
        <v>0</v>
      </c>
      <c r="H23" s="36">
        <v>4</v>
      </c>
      <c r="I23" s="36">
        <v>0</v>
      </c>
      <c r="J23" s="37">
        <f t="shared" si="0"/>
        <v>10</v>
      </c>
      <c r="K23" s="37">
        <f t="shared" si="1"/>
        <v>0</v>
      </c>
      <c r="L23" s="38">
        <f>K23/J23</f>
        <v>0</v>
      </c>
      <c r="M23" s="39" t="str">
        <f t="shared" si="2"/>
        <v>0,5</v>
      </c>
      <c r="N23" s="35" t="str">
        <f t="shared" si="3"/>
        <v>Cukup</v>
      </c>
      <c r="O23" s="35" t="str">
        <f t="shared" si="4"/>
        <v>Terlampir Pada LHE ZI</v>
      </c>
    </row>
    <row r="24" spans="1:15" x14ac:dyDescent="0.25">
      <c r="A24" s="35"/>
      <c r="B24" s="35" t="s">
        <v>11</v>
      </c>
      <c r="C24" s="35" t="s">
        <v>307</v>
      </c>
      <c r="D24" s="36">
        <v>3</v>
      </c>
      <c r="E24" s="36">
        <v>0</v>
      </c>
      <c r="F24" s="36">
        <v>2</v>
      </c>
      <c r="G24" s="36">
        <v>0</v>
      </c>
      <c r="H24" s="36">
        <v>3</v>
      </c>
      <c r="I24" s="36">
        <v>0</v>
      </c>
      <c r="J24" s="37">
        <f t="shared" si="0"/>
        <v>8</v>
      </c>
      <c r="K24" s="37">
        <f t="shared" si="1"/>
        <v>0</v>
      </c>
      <c r="L24" s="38">
        <f>K24/J24</f>
        <v>0</v>
      </c>
      <c r="M24" s="39" t="str">
        <f t="shared" si="2"/>
        <v>0,5</v>
      </c>
      <c r="N24" s="35" t="str">
        <f t="shared" si="3"/>
        <v>Cukup</v>
      </c>
      <c r="O24" s="35" t="str">
        <f t="shared" si="4"/>
        <v>Terlampir Pada LHE ZI</v>
      </c>
    </row>
    <row r="25" spans="1:15" x14ac:dyDescent="0.25">
      <c r="A25" s="35"/>
      <c r="B25" s="35" t="s">
        <v>12</v>
      </c>
      <c r="C25" s="35" t="s">
        <v>307</v>
      </c>
      <c r="D25" s="36">
        <v>0</v>
      </c>
      <c r="E25" s="36">
        <v>0</v>
      </c>
      <c r="F25" s="36">
        <v>7</v>
      </c>
      <c r="G25" s="36">
        <v>0</v>
      </c>
      <c r="H25" s="36">
        <v>7</v>
      </c>
      <c r="I25" s="36">
        <v>0</v>
      </c>
      <c r="J25" s="37">
        <f t="shared" si="0"/>
        <v>14</v>
      </c>
      <c r="K25" s="37">
        <f t="shared" si="1"/>
        <v>0</v>
      </c>
      <c r="L25" s="38">
        <f>K25/J25</f>
        <v>0</v>
      </c>
      <c r="M25" s="39" t="str">
        <f t="shared" si="2"/>
        <v>0,5</v>
      </c>
      <c r="N25" s="35" t="str">
        <f t="shared" si="3"/>
        <v>Cukup</v>
      </c>
      <c r="O25" s="35" t="str">
        <f t="shared" si="4"/>
        <v>Terlampir Pada LHE ZI</v>
      </c>
    </row>
    <row r="26" spans="1:15" x14ac:dyDescent="0.25">
      <c r="A26" s="35"/>
      <c r="B26" s="35" t="s">
        <v>13</v>
      </c>
      <c r="C26" s="35" t="s">
        <v>307</v>
      </c>
      <c r="D26" s="36">
        <v>3</v>
      </c>
      <c r="E26" s="36">
        <v>1</v>
      </c>
      <c r="F26" s="36">
        <v>6</v>
      </c>
      <c r="G26" s="36">
        <v>0</v>
      </c>
      <c r="H26" s="36">
        <v>6</v>
      </c>
      <c r="I26" s="36">
        <v>1</v>
      </c>
      <c r="J26" s="37">
        <f t="shared" si="0"/>
        <v>15</v>
      </c>
      <c r="K26" s="37">
        <f t="shared" si="1"/>
        <v>2</v>
      </c>
      <c r="L26" s="38">
        <f>K26/J26</f>
        <v>0.13333333333333333</v>
      </c>
      <c r="M26" s="39" t="str">
        <f t="shared" si="2"/>
        <v>1,5</v>
      </c>
      <c r="N26" s="35" t="str">
        <f t="shared" si="3"/>
        <v>Sangat Baik</v>
      </c>
      <c r="O26" s="35" t="str">
        <f t="shared" si="4"/>
        <v>Terlampir Pada LHE ZI</v>
      </c>
    </row>
    <row r="27" spans="1:15" x14ac:dyDescent="0.25">
      <c r="A27" s="35"/>
      <c r="B27" s="35" t="s">
        <v>417</v>
      </c>
      <c r="C27" s="35" t="s">
        <v>307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7">
        <f t="shared" si="0"/>
        <v>0</v>
      </c>
      <c r="K27" s="37">
        <f t="shared" si="1"/>
        <v>0</v>
      </c>
      <c r="L27" s="38" t="e">
        <v>#DIV/0!</v>
      </c>
      <c r="M27" s="39">
        <v>0</v>
      </c>
      <c r="N27" s="35" t="str">
        <f t="shared" si="3"/>
        <v>Kurang</v>
      </c>
      <c r="O27" s="35" t="str">
        <f t="shared" si="4"/>
        <v>Isi Rekomendasi</v>
      </c>
    </row>
    <row r="28" spans="1:15" x14ac:dyDescent="0.25">
      <c r="A28" s="35"/>
      <c r="B28" s="35" t="s">
        <v>14</v>
      </c>
      <c r="C28" s="35" t="s">
        <v>307</v>
      </c>
      <c r="D28" s="36">
        <v>0</v>
      </c>
      <c r="E28" s="36">
        <v>0</v>
      </c>
      <c r="F28" s="36">
        <v>3</v>
      </c>
      <c r="G28" s="36">
        <v>0</v>
      </c>
      <c r="H28" s="36">
        <v>4</v>
      </c>
      <c r="I28" s="36">
        <v>0</v>
      </c>
      <c r="J28" s="37">
        <f t="shared" si="0"/>
        <v>7</v>
      </c>
      <c r="K28" s="37">
        <f t="shared" si="1"/>
        <v>0</v>
      </c>
      <c r="L28" s="38">
        <f>K28/J28</f>
        <v>0</v>
      </c>
      <c r="M28" s="39" t="str">
        <f t="shared" si="2"/>
        <v>0,5</v>
      </c>
      <c r="N28" s="35" t="str">
        <f t="shared" si="3"/>
        <v>Cukup</v>
      </c>
      <c r="O28" s="35" t="str">
        <f t="shared" si="4"/>
        <v>Terlampir Pada LHE ZI</v>
      </c>
    </row>
    <row r="29" spans="1:15" x14ac:dyDescent="0.25">
      <c r="A29" s="35"/>
      <c r="B29" s="35" t="s">
        <v>418</v>
      </c>
      <c r="C29" s="35" t="s">
        <v>307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7">
        <f t="shared" si="0"/>
        <v>0</v>
      </c>
      <c r="K29" s="37">
        <f t="shared" si="1"/>
        <v>0</v>
      </c>
      <c r="L29" s="38" t="e">
        <v>#DIV/0!</v>
      </c>
      <c r="M29" s="39">
        <v>0</v>
      </c>
      <c r="N29" s="35" t="str">
        <f t="shared" si="3"/>
        <v>Kurang</v>
      </c>
      <c r="O29" s="35" t="str">
        <f t="shared" si="4"/>
        <v>Isi Rekomendasi</v>
      </c>
    </row>
    <row r="30" spans="1:15" x14ac:dyDescent="0.25">
      <c r="A30" s="35"/>
      <c r="B30" s="35" t="s">
        <v>419</v>
      </c>
      <c r="C30" s="35" t="s">
        <v>307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7">
        <f t="shared" si="0"/>
        <v>0</v>
      </c>
      <c r="K30" s="37">
        <f t="shared" si="1"/>
        <v>0</v>
      </c>
      <c r="L30" s="38" t="e">
        <v>#DIV/0!</v>
      </c>
      <c r="M30" s="39">
        <v>0</v>
      </c>
      <c r="N30" s="35" t="str">
        <f t="shared" si="3"/>
        <v>Kurang</v>
      </c>
      <c r="O30" s="35" t="str">
        <f t="shared" si="4"/>
        <v>Isi Rekomendasi</v>
      </c>
    </row>
    <row r="31" spans="1:15" x14ac:dyDescent="0.25">
      <c r="A31" s="35"/>
      <c r="B31" s="35" t="s">
        <v>383</v>
      </c>
      <c r="C31" s="35" t="s">
        <v>307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7">
        <f t="shared" si="0"/>
        <v>0</v>
      </c>
      <c r="K31" s="37">
        <f t="shared" si="1"/>
        <v>0</v>
      </c>
      <c r="L31" s="38" t="e">
        <v>#DIV/0!</v>
      </c>
      <c r="M31" s="39">
        <v>0</v>
      </c>
      <c r="N31" s="35" t="str">
        <f t="shared" si="3"/>
        <v>Kurang</v>
      </c>
      <c r="O31" s="35" t="str">
        <f t="shared" si="4"/>
        <v>Isi Rekomendasi</v>
      </c>
    </row>
    <row r="32" spans="1:15" x14ac:dyDescent="0.25">
      <c r="A32" s="35"/>
      <c r="B32" s="35" t="s">
        <v>15</v>
      </c>
      <c r="C32" s="35" t="s">
        <v>307</v>
      </c>
      <c r="D32" s="36">
        <v>0</v>
      </c>
      <c r="E32" s="36">
        <v>0</v>
      </c>
      <c r="F32" s="36">
        <v>5</v>
      </c>
      <c r="G32" s="36">
        <v>0</v>
      </c>
      <c r="H32" s="36">
        <v>5</v>
      </c>
      <c r="I32" s="36">
        <v>0</v>
      </c>
      <c r="J32" s="37">
        <f t="shared" si="0"/>
        <v>10</v>
      </c>
      <c r="K32" s="37">
        <f t="shared" si="1"/>
        <v>0</v>
      </c>
      <c r="L32" s="38">
        <f>K32/J32</f>
        <v>0</v>
      </c>
      <c r="M32" s="39" t="str">
        <f t="shared" si="2"/>
        <v>0,5</v>
      </c>
      <c r="N32" s="35" t="str">
        <f t="shared" si="3"/>
        <v>Cukup</v>
      </c>
      <c r="O32" s="35" t="str">
        <f t="shared" si="4"/>
        <v>Terlampir Pada LHE ZI</v>
      </c>
    </row>
    <row r="33" spans="1:15" x14ac:dyDescent="0.25">
      <c r="A33" s="35"/>
      <c r="B33" s="35" t="s">
        <v>16</v>
      </c>
      <c r="C33" s="35" t="s">
        <v>307</v>
      </c>
      <c r="D33" s="36">
        <v>3</v>
      </c>
      <c r="E33" s="36">
        <v>0</v>
      </c>
      <c r="F33" s="36">
        <v>7</v>
      </c>
      <c r="G33" s="36">
        <v>0</v>
      </c>
      <c r="H33" s="36">
        <v>7</v>
      </c>
      <c r="I33" s="36">
        <v>2</v>
      </c>
      <c r="J33" s="37">
        <f t="shared" si="0"/>
        <v>17</v>
      </c>
      <c r="K33" s="37">
        <f t="shared" si="1"/>
        <v>2</v>
      </c>
      <c r="L33" s="38">
        <f>K33/J33</f>
        <v>0.11764705882352941</v>
      </c>
      <c r="M33" s="39" t="str">
        <f t="shared" si="2"/>
        <v>1,5</v>
      </c>
      <c r="N33" s="35" t="str">
        <f t="shared" si="3"/>
        <v>Sangat Baik</v>
      </c>
      <c r="O33" s="35" t="str">
        <f t="shared" si="4"/>
        <v>Terlampir Pada LHE ZI</v>
      </c>
    </row>
    <row r="34" spans="1:15" x14ac:dyDescent="0.25">
      <c r="A34" s="35"/>
      <c r="B34" s="35" t="s">
        <v>356</v>
      </c>
      <c r="C34" s="35" t="s">
        <v>307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7">
        <f t="shared" si="0"/>
        <v>0</v>
      </c>
      <c r="K34" s="37">
        <f t="shared" si="1"/>
        <v>0</v>
      </c>
      <c r="L34" s="38" t="e">
        <v>#DIV/0!</v>
      </c>
      <c r="M34" s="39">
        <v>0</v>
      </c>
      <c r="N34" s="35" t="str">
        <f t="shared" si="3"/>
        <v>Kurang</v>
      </c>
      <c r="O34" s="35" t="str">
        <f t="shared" si="4"/>
        <v>Isi Rekomendasi</v>
      </c>
    </row>
    <row r="35" spans="1:15" x14ac:dyDescent="0.25">
      <c r="A35" s="35"/>
      <c r="B35" s="35" t="s">
        <v>17</v>
      </c>
      <c r="C35" s="35" t="s">
        <v>307</v>
      </c>
      <c r="D35" s="36">
        <v>3</v>
      </c>
      <c r="E35" s="36">
        <v>1</v>
      </c>
      <c r="F35" s="36">
        <v>13</v>
      </c>
      <c r="G35" s="36">
        <v>0</v>
      </c>
      <c r="H35" s="36">
        <v>13</v>
      </c>
      <c r="I35" s="36">
        <v>1</v>
      </c>
      <c r="J35" s="37">
        <f t="shared" si="0"/>
        <v>29</v>
      </c>
      <c r="K35" s="37">
        <f t="shared" si="1"/>
        <v>2</v>
      </c>
      <c r="L35" s="38">
        <f>K35/J35</f>
        <v>6.8965517241379309E-2</v>
      </c>
      <c r="M35" s="39" t="str">
        <f t="shared" si="2"/>
        <v>0,75</v>
      </c>
      <c r="N35" s="35" t="str">
        <f t="shared" si="3"/>
        <v>Baik</v>
      </c>
      <c r="O35" s="35" t="str">
        <f t="shared" si="4"/>
        <v>Terlampir Pada LHE ZI</v>
      </c>
    </row>
    <row r="36" spans="1:15" x14ac:dyDescent="0.25">
      <c r="A36" s="35"/>
      <c r="B36" s="35" t="s">
        <v>385</v>
      </c>
      <c r="C36" s="35" t="s">
        <v>307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7">
        <f t="shared" si="0"/>
        <v>0</v>
      </c>
      <c r="K36" s="37">
        <f t="shared" si="1"/>
        <v>0</v>
      </c>
      <c r="L36" s="38" t="e">
        <v>#DIV/0!</v>
      </c>
      <c r="M36" s="39">
        <v>0</v>
      </c>
      <c r="N36" s="35" t="str">
        <f t="shared" si="3"/>
        <v>Kurang</v>
      </c>
      <c r="O36" s="35" t="str">
        <f t="shared" si="4"/>
        <v>Isi Rekomendasi</v>
      </c>
    </row>
    <row r="37" spans="1:15" x14ac:dyDescent="0.25">
      <c r="A37" s="35"/>
      <c r="B37" s="35" t="s">
        <v>18</v>
      </c>
      <c r="C37" s="35" t="s">
        <v>307</v>
      </c>
      <c r="D37" s="36">
        <v>2</v>
      </c>
      <c r="E37" s="36">
        <v>0</v>
      </c>
      <c r="F37" s="36">
        <v>0</v>
      </c>
      <c r="G37" s="36">
        <v>0</v>
      </c>
      <c r="H37" s="36">
        <v>4</v>
      </c>
      <c r="I37" s="36">
        <v>1</v>
      </c>
      <c r="J37" s="37">
        <f t="shared" si="0"/>
        <v>6</v>
      </c>
      <c r="K37" s="37">
        <f t="shared" si="1"/>
        <v>1</v>
      </c>
      <c r="L37" s="38">
        <f t="shared" ref="L37:L42" si="5">K37/J37</f>
        <v>0.16666666666666666</v>
      </c>
      <c r="M37" s="39" t="str">
        <f t="shared" si="2"/>
        <v>1,5</v>
      </c>
      <c r="N37" s="35" t="str">
        <f t="shared" si="3"/>
        <v>Sangat Baik</v>
      </c>
      <c r="O37" s="35" t="str">
        <f t="shared" si="4"/>
        <v>Terlampir Pada LHE ZI</v>
      </c>
    </row>
    <row r="38" spans="1:15" x14ac:dyDescent="0.25">
      <c r="A38" s="35"/>
      <c r="B38" s="35" t="s">
        <v>19</v>
      </c>
      <c r="C38" s="35" t="s">
        <v>307</v>
      </c>
      <c r="D38" s="36">
        <v>2</v>
      </c>
      <c r="E38" s="36">
        <v>0</v>
      </c>
      <c r="F38" s="36">
        <v>2</v>
      </c>
      <c r="G38" s="36">
        <v>0</v>
      </c>
      <c r="H38" s="36">
        <v>5</v>
      </c>
      <c r="I38" s="36">
        <v>2</v>
      </c>
      <c r="J38" s="37">
        <f t="shared" si="0"/>
        <v>9</v>
      </c>
      <c r="K38" s="37">
        <f t="shared" si="1"/>
        <v>2</v>
      </c>
      <c r="L38" s="38">
        <f t="shared" si="5"/>
        <v>0.22222222222222221</v>
      </c>
      <c r="M38" s="39" t="str">
        <f t="shared" si="2"/>
        <v>1,5</v>
      </c>
      <c r="N38" s="35" t="str">
        <f t="shared" si="3"/>
        <v>Sangat Baik</v>
      </c>
      <c r="O38" s="35" t="str">
        <f t="shared" si="4"/>
        <v>Terlampir Pada LHE ZI</v>
      </c>
    </row>
    <row r="39" spans="1:15" x14ac:dyDescent="0.25">
      <c r="A39" s="35"/>
      <c r="B39" s="35" t="s">
        <v>20</v>
      </c>
      <c r="C39" s="35" t="s">
        <v>307</v>
      </c>
      <c r="D39" s="36">
        <v>3</v>
      </c>
      <c r="E39" s="36">
        <v>0</v>
      </c>
      <c r="F39" s="36">
        <v>3</v>
      </c>
      <c r="G39" s="36">
        <v>0</v>
      </c>
      <c r="H39" s="36">
        <v>4</v>
      </c>
      <c r="I39" s="36">
        <v>0</v>
      </c>
      <c r="J39" s="37">
        <f t="shared" si="0"/>
        <v>10</v>
      </c>
      <c r="K39" s="37">
        <f t="shared" si="1"/>
        <v>0</v>
      </c>
      <c r="L39" s="38">
        <f t="shared" si="5"/>
        <v>0</v>
      </c>
      <c r="M39" s="39" t="str">
        <f t="shared" si="2"/>
        <v>0,5</v>
      </c>
      <c r="N39" s="35" t="str">
        <f t="shared" si="3"/>
        <v>Cukup</v>
      </c>
      <c r="O39" s="35" t="str">
        <f t="shared" si="4"/>
        <v>Terlampir Pada LHE ZI</v>
      </c>
    </row>
    <row r="40" spans="1:15" x14ac:dyDescent="0.25">
      <c r="A40" s="35"/>
      <c r="B40" s="35" t="s">
        <v>21</v>
      </c>
      <c r="C40" s="35" t="s">
        <v>307</v>
      </c>
      <c r="D40" s="36">
        <v>1</v>
      </c>
      <c r="E40" s="36">
        <v>0</v>
      </c>
      <c r="F40" s="36">
        <v>0</v>
      </c>
      <c r="G40" s="36">
        <v>0</v>
      </c>
      <c r="H40" s="36">
        <v>1</v>
      </c>
      <c r="I40" s="36">
        <v>0</v>
      </c>
      <c r="J40" s="37">
        <f t="shared" si="0"/>
        <v>2</v>
      </c>
      <c r="K40" s="37">
        <f t="shared" si="1"/>
        <v>0</v>
      </c>
      <c r="L40" s="38">
        <f t="shared" si="5"/>
        <v>0</v>
      </c>
      <c r="M40" s="39" t="str">
        <f t="shared" si="2"/>
        <v>0,5</v>
      </c>
      <c r="N40" s="35" t="str">
        <f t="shared" si="3"/>
        <v>Cukup</v>
      </c>
      <c r="O40" s="35" t="str">
        <f t="shared" si="4"/>
        <v>Terlampir Pada LHE ZI</v>
      </c>
    </row>
    <row r="41" spans="1:15" x14ac:dyDescent="0.25">
      <c r="A41" s="35"/>
      <c r="B41" s="35" t="s">
        <v>22</v>
      </c>
      <c r="C41" s="35" t="s">
        <v>307</v>
      </c>
      <c r="D41" s="36">
        <v>0</v>
      </c>
      <c r="E41" s="36">
        <v>0</v>
      </c>
      <c r="F41" s="36">
        <v>0</v>
      </c>
      <c r="G41" s="36">
        <v>0</v>
      </c>
      <c r="H41" s="36">
        <v>3</v>
      </c>
      <c r="I41" s="36">
        <v>0</v>
      </c>
      <c r="J41" s="37">
        <f t="shared" si="0"/>
        <v>3</v>
      </c>
      <c r="K41" s="37">
        <f t="shared" si="1"/>
        <v>0</v>
      </c>
      <c r="L41" s="38">
        <f t="shared" si="5"/>
        <v>0</v>
      </c>
      <c r="M41" s="39" t="str">
        <f t="shared" si="2"/>
        <v>0,5</v>
      </c>
      <c r="N41" s="35" t="str">
        <f t="shared" si="3"/>
        <v>Cukup</v>
      </c>
      <c r="O41" s="35" t="str">
        <f t="shared" si="4"/>
        <v>Terlampir Pada LHE ZI</v>
      </c>
    </row>
    <row r="42" spans="1:15" x14ac:dyDescent="0.25">
      <c r="A42" s="35"/>
      <c r="B42" s="35" t="s">
        <v>23</v>
      </c>
      <c r="C42" s="35" t="s">
        <v>307</v>
      </c>
      <c r="D42" s="36">
        <v>3</v>
      </c>
      <c r="E42" s="36">
        <v>0</v>
      </c>
      <c r="F42" s="36">
        <v>6</v>
      </c>
      <c r="G42" s="36">
        <v>0</v>
      </c>
      <c r="H42" s="36">
        <v>4</v>
      </c>
      <c r="I42" s="36">
        <v>2</v>
      </c>
      <c r="J42" s="37">
        <f t="shared" si="0"/>
        <v>13</v>
      </c>
      <c r="K42" s="37">
        <f t="shared" si="1"/>
        <v>2</v>
      </c>
      <c r="L42" s="38">
        <f t="shared" si="5"/>
        <v>0.15384615384615385</v>
      </c>
      <c r="M42" s="39" t="str">
        <f t="shared" si="2"/>
        <v>1,5</v>
      </c>
      <c r="N42" s="35" t="str">
        <f t="shared" si="3"/>
        <v>Sangat Baik</v>
      </c>
      <c r="O42" s="35" t="str">
        <f t="shared" si="4"/>
        <v>Terlampir Pada LHE ZI</v>
      </c>
    </row>
    <row r="43" spans="1:15" x14ac:dyDescent="0.25">
      <c r="A43" s="35"/>
      <c r="B43" s="35" t="s">
        <v>420</v>
      </c>
      <c r="C43" s="35" t="s">
        <v>307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7">
        <f t="shared" si="0"/>
        <v>0</v>
      </c>
      <c r="K43" s="37">
        <f t="shared" si="1"/>
        <v>0</v>
      </c>
      <c r="L43" s="38" t="e">
        <v>#DIV/0!</v>
      </c>
      <c r="M43" s="39">
        <v>0</v>
      </c>
      <c r="N43" s="35" t="str">
        <f t="shared" si="3"/>
        <v>Kurang</v>
      </c>
      <c r="O43" s="35" t="str">
        <f t="shared" si="4"/>
        <v>Isi Rekomendasi</v>
      </c>
    </row>
    <row r="44" spans="1:15" x14ac:dyDescent="0.25">
      <c r="A44" s="35"/>
      <c r="B44" s="35" t="s">
        <v>24</v>
      </c>
      <c r="C44" s="35" t="s">
        <v>307</v>
      </c>
      <c r="D44" s="36">
        <v>0</v>
      </c>
      <c r="E44" s="36">
        <v>0</v>
      </c>
      <c r="F44" s="36">
        <v>0</v>
      </c>
      <c r="G44" s="36">
        <v>0</v>
      </c>
      <c r="H44" s="36">
        <v>2</v>
      </c>
      <c r="I44" s="36">
        <v>0</v>
      </c>
      <c r="J44" s="37">
        <f t="shared" si="0"/>
        <v>2</v>
      </c>
      <c r="K44" s="37">
        <f t="shared" si="1"/>
        <v>0</v>
      </c>
      <c r="L44" s="38">
        <f>K44/J44</f>
        <v>0</v>
      </c>
      <c r="M44" s="39" t="str">
        <f t="shared" si="2"/>
        <v>0,5</v>
      </c>
      <c r="N44" s="35" t="str">
        <f t="shared" si="3"/>
        <v>Cukup</v>
      </c>
      <c r="O44" s="35" t="str">
        <f t="shared" si="4"/>
        <v>Terlampir Pada LHE ZI</v>
      </c>
    </row>
    <row r="45" spans="1:15" x14ac:dyDescent="0.25">
      <c r="A45" s="35"/>
      <c r="B45" s="35" t="s">
        <v>421</v>
      </c>
      <c r="C45" s="35" t="s">
        <v>307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7">
        <f t="shared" si="0"/>
        <v>0</v>
      </c>
      <c r="K45" s="37">
        <f t="shared" si="1"/>
        <v>0</v>
      </c>
      <c r="L45" s="38" t="e">
        <v>#DIV/0!</v>
      </c>
      <c r="M45" s="39">
        <v>0</v>
      </c>
      <c r="N45" s="35" t="str">
        <f t="shared" si="3"/>
        <v>Kurang</v>
      </c>
      <c r="O45" s="35" t="str">
        <f t="shared" si="4"/>
        <v>Isi Rekomendasi</v>
      </c>
    </row>
    <row r="46" spans="1:15" x14ac:dyDescent="0.25">
      <c r="A46" s="35"/>
      <c r="B46" s="35" t="s">
        <v>25</v>
      </c>
      <c r="C46" s="35" t="s">
        <v>307</v>
      </c>
      <c r="D46" s="36">
        <v>0</v>
      </c>
      <c r="E46" s="36">
        <v>0</v>
      </c>
      <c r="F46" s="36">
        <v>0</v>
      </c>
      <c r="G46" s="36">
        <v>0</v>
      </c>
      <c r="H46" s="36">
        <v>2</v>
      </c>
      <c r="I46" s="36">
        <v>0</v>
      </c>
      <c r="J46" s="37">
        <f t="shared" si="0"/>
        <v>2</v>
      </c>
      <c r="K46" s="37">
        <f t="shared" si="1"/>
        <v>0</v>
      </c>
      <c r="L46" s="38">
        <f t="shared" ref="L46:L53" si="6">K46/J46</f>
        <v>0</v>
      </c>
      <c r="M46" s="39" t="str">
        <f t="shared" si="2"/>
        <v>0,5</v>
      </c>
      <c r="N46" s="35" t="str">
        <f t="shared" si="3"/>
        <v>Cukup</v>
      </c>
      <c r="O46" s="35" t="str">
        <f t="shared" si="4"/>
        <v>Terlampir Pada LHE ZI</v>
      </c>
    </row>
    <row r="47" spans="1:15" x14ac:dyDescent="0.25">
      <c r="A47" s="35"/>
      <c r="B47" s="35" t="s">
        <v>392</v>
      </c>
      <c r="C47" s="35" t="s">
        <v>307</v>
      </c>
      <c r="D47" s="36">
        <v>1</v>
      </c>
      <c r="E47" s="36">
        <v>0</v>
      </c>
      <c r="F47" s="36">
        <v>1</v>
      </c>
      <c r="G47" s="36">
        <v>1</v>
      </c>
      <c r="H47" s="36">
        <v>0</v>
      </c>
      <c r="I47" s="36">
        <v>0</v>
      </c>
      <c r="J47" s="37">
        <f t="shared" si="0"/>
        <v>2</v>
      </c>
      <c r="K47" s="37">
        <f t="shared" si="1"/>
        <v>1</v>
      </c>
      <c r="L47" s="38">
        <f t="shared" si="6"/>
        <v>0.5</v>
      </c>
      <c r="M47" s="39" t="str">
        <f t="shared" si="2"/>
        <v>2,5</v>
      </c>
      <c r="N47" s="35" t="str">
        <f t="shared" si="3"/>
        <v>Memuaskan</v>
      </c>
      <c r="O47" s="35" t="str">
        <f t="shared" si="4"/>
        <v>Terlampir Pada LHE ZI</v>
      </c>
    </row>
    <row r="48" spans="1:15" x14ac:dyDescent="0.25">
      <c r="A48" s="35"/>
      <c r="B48" s="35" t="s">
        <v>26</v>
      </c>
      <c r="C48" s="35" t="s">
        <v>307</v>
      </c>
      <c r="D48" s="36">
        <v>3</v>
      </c>
      <c r="E48" s="36">
        <v>1</v>
      </c>
      <c r="F48" s="36">
        <v>3</v>
      </c>
      <c r="G48" s="36">
        <v>0</v>
      </c>
      <c r="H48" s="36">
        <v>4</v>
      </c>
      <c r="I48" s="36">
        <v>0</v>
      </c>
      <c r="J48" s="37">
        <f t="shared" si="0"/>
        <v>10</v>
      </c>
      <c r="K48" s="37">
        <f t="shared" si="1"/>
        <v>1</v>
      </c>
      <c r="L48" s="38">
        <f t="shared" si="6"/>
        <v>0.1</v>
      </c>
      <c r="M48" s="39" t="str">
        <f t="shared" si="2"/>
        <v>0,75</v>
      </c>
      <c r="N48" s="35" t="str">
        <f t="shared" si="3"/>
        <v>Baik</v>
      </c>
      <c r="O48" s="35" t="str">
        <f t="shared" si="4"/>
        <v>Terlampir Pada LHE ZI</v>
      </c>
    </row>
    <row r="49" spans="1:15" x14ac:dyDescent="0.25">
      <c r="A49" s="35"/>
      <c r="B49" s="35" t="s">
        <v>27</v>
      </c>
      <c r="C49" s="35" t="s">
        <v>307</v>
      </c>
      <c r="D49" s="36">
        <v>3</v>
      </c>
      <c r="E49" s="36">
        <v>0</v>
      </c>
      <c r="F49" s="36">
        <v>3</v>
      </c>
      <c r="G49" s="36">
        <v>0</v>
      </c>
      <c r="H49" s="36">
        <v>2</v>
      </c>
      <c r="I49" s="36">
        <v>1</v>
      </c>
      <c r="J49" s="37">
        <f t="shared" si="0"/>
        <v>8</v>
      </c>
      <c r="K49" s="37">
        <f t="shared" si="1"/>
        <v>1</v>
      </c>
      <c r="L49" s="38">
        <f t="shared" si="6"/>
        <v>0.125</v>
      </c>
      <c r="M49" s="39" t="str">
        <f t="shared" si="2"/>
        <v>1,5</v>
      </c>
      <c r="N49" s="35" t="str">
        <f t="shared" si="3"/>
        <v>Sangat Baik</v>
      </c>
      <c r="O49" s="35" t="str">
        <f t="shared" si="4"/>
        <v>Terlampir Pada LHE ZI</v>
      </c>
    </row>
    <row r="50" spans="1:15" x14ac:dyDescent="0.25">
      <c r="A50" s="35"/>
      <c r="B50" s="35" t="s">
        <v>371</v>
      </c>
      <c r="C50" s="35" t="s">
        <v>307</v>
      </c>
      <c r="D50" s="36">
        <v>2</v>
      </c>
      <c r="E50" s="36">
        <v>0</v>
      </c>
      <c r="F50" s="36">
        <v>5</v>
      </c>
      <c r="G50" s="36">
        <v>0</v>
      </c>
      <c r="H50" s="36">
        <v>0</v>
      </c>
      <c r="I50" s="36">
        <v>0</v>
      </c>
      <c r="J50" s="37">
        <f t="shared" si="0"/>
        <v>7</v>
      </c>
      <c r="K50" s="37">
        <f t="shared" si="1"/>
        <v>0</v>
      </c>
      <c r="L50" s="38">
        <f t="shared" si="6"/>
        <v>0</v>
      </c>
      <c r="M50" s="39" t="str">
        <f t="shared" si="2"/>
        <v>0,5</v>
      </c>
      <c r="N50" s="35" t="str">
        <f t="shared" si="3"/>
        <v>Cukup</v>
      </c>
      <c r="O50" s="35" t="str">
        <f t="shared" si="4"/>
        <v>Terlampir Pada LHE ZI</v>
      </c>
    </row>
    <row r="51" spans="1:15" x14ac:dyDescent="0.25">
      <c r="A51" s="35"/>
      <c r="B51" s="35" t="s">
        <v>28</v>
      </c>
      <c r="C51" s="35" t="s">
        <v>307</v>
      </c>
      <c r="D51" s="36">
        <v>3</v>
      </c>
      <c r="E51" s="36">
        <v>0</v>
      </c>
      <c r="F51" s="36">
        <v>3</v>
      </c>
      <c r="G51" s="36">
        <v>0</v>
      </c>
      <c r="H51" s="36">
        <v>4</v>
      </c>
      <c r="I51" s="36">
        <v>0</v>
      </c>
      <c r="J51" s="37">
        <f t="shared" si="0"/>
        <v>10</v>
      </c>
      <c r="K51" s="37">
        <f t="shared" si="1"/>
        <v>0</v>
      </c>
      <c r="L51" s="38">
        <f t="shared" si="6"/>
        <v>0</v>
      </c>
      <c r="M51" s="39" t="str">
        <f t="shared" si="2"/>
        <v>0,5</v>
      </c>
      <c r="N51" s="35" t="str">
        <f t="shared" si="3"/>
        <v>Cukup</v>
      </c>
      <c r="O51" s="35" t="str">
        <f t="shared" si="4"/>
        <v>Terlampir Pada LHE ZI</v>
      </c>
    </row>
    <row r="52" spans="1:15" x14ac:dyDescent="0.25">
      <c r="A52" s="35"/>
      <c r="B52" s="35" t="s">
        <v>29</v>
      </c>
      <c r="C52" s="35" t="s">
        <v>307</v>
      </c>
      <c r="D52" s="36">
        <v>0</v>
      </c>
      <c r="E52" s="36">
        <v>0</v>
      </c>
      <c r="F52" s="36">
        <v>0</v>
      </c>
      <c r="G52" s="36">
        <v>0</v>
      </c>
      <c r="H52" s="36">
        <v>1</v>
      </c>
      <c r="I52" s="36">
        <v>1</v>
      </c>
      <c r="J52" s="37">
        <f t="shared" si="0"/>
        <v>1</v>
      </c>
      <c r="K52" s="37">
        <f t="shared" si="1"/>
        <v>1</v>
      </c>
      <c r="L52" s="38">
        <f t="shared" si="6"/>
        <v>1</v>
      </c>
      <c r="M52" s="39" t="str">
        <f t="shared" si="2"/>
        <v>3,5</v>
      </c>
      <c r="N52" s="35" t="str">
        <f t="shared" si="3"/>
        <v>Sangat Memuaskan</v>
      </c>
      <c r="O52" s="35" t="str">
        <f t="shared" si="4"/>
        <v>Terlampir Pada LHE ZI</v>
      </c>
    </row>
    <row r="53" spans="1:15" x14ac:dyDescent="0.25">
      <c r="A53" s="35"/>
      <c r="B53" s="35" t="s">
        <v>30</v>
      </c>
      <c r="C53" s="35" t="s">
        <v>307</v>
      </c>
      <c r="D53" s="36">
        <v>3</v>
      </c>
      <c r="E53" s="36">
        <v>0</v>
      </c>
      <c r="F53" s="36">
        <v>6</v>
      </c>
      <c r="G53" s="36">
        <v>2</v>
      </c>
      <c r="H53" s="36">
        <v>5</v>
      </c>
      <c r="I53" s="36">
        <v>1</v>
      </c>
      <c r="J53" s="37">
        <f t="shared" si="0"/>
        <v>14</v>
      </c>
      <c r="K53" s="37">
        <f t="shared" si="1"/>
        <v>3</v>
      </c>
      <c r="L53" s="38">
        <f t="shared" si="6"/>
        <v>0.21428571428571427</v>
      </c>
      <c r="M53" s="39" t="str">
        <f t="shared" si="2"/>
        <v>1,5</v>
      </c>
      <c r="N53" s="35" t="str">
        <f t="shared" si="3"/>
        <v>Sangat Baik</v>
      </c>
      <c r="O53" s="35" t="str">
        <f t="shared" si="4"/>
        <v>Terlampir Pada LHE ZI</v>
      </c>
    </row>
    <row r="54" spans="1:15" x14ac:dyDescent="0.25">
      <c r="A54" s="35"/>
      <c r="B54" s="35" t="s">
        <v>422</v>
      </c>
      <c r="C54" s="35" t="s">
        <v>307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7">
        <f t="shared" si="0"/>
        <v>0</v>
      </c>
      <c r="K54" s="37">
        <f t="shared" si="1"/>
        <v>0</v>
      </c>
      <c r="L54" s="38" t="e">
        <v>#DIV/0!</v>
      </c>
      <c r="M54" s="39">
        <v>0</v>
      </c>
      <c r="N54" s="35" t="str">
        <f t="shared" si="3"/>
        <v>Kurang</v>
      </c>
      <c r="O54" s="35" t="str">
        <f t="shared" si="4"/>
        <v>Isi Rekomendasi</v>
      </c>
    </row>
    <row r="55" spans="1:15" x14ac:dyDescent="0.25">
      <c r="A55" s="35"/>
      <c r="B55" s="35" t="s">
        <v>31</v>
      </c>
      <c r="C55" s="35" t="s">
        <v>307</v>
      </c>
      <c r="D55" s="36">
        <v>3</v>
      </c>
      <c r="E55" s="36">
        <v>2</v>
      </c>
      <c r="F55" s="36">
        <v>10</v>
      </c>
      <c r="G55" s="36">
        <v>1</v>
      </c>
      <c r="H55" s="36">
        <v>9</v>
      </c>
      <c r="I55" s="36">
        <v>0</v>
      </c>
      <c r="J55" s="37">
        <f t="shared" si="0"/>
        <v>22</v>
      </c>
      <c r="K55" s="37">
        <f t="shared" si="1"/>
        <v>3</v>
      </c>
      <c r="L55" s="38">
        <f t="shared" ref="L55:L64" si="7">K55/J55</f>
        <v>0.13636363636363635</v>
      </c>
      <c r="M55" s="39" t="str">
        <f t="shared" si="2"/>
        <v>1,5</v>
      </c>
      <c r="N55" s="35" t="str">
        <f t="shared" si="3"/>
        <v>Sangat Baik</v>
      </c>
      <c r="O55" s="35" t="str">
        <f t="shared" si="4"/>
        <v>Terlampir Pada LHE ZI</v>
      </c>
    </row>
    <row r="56" spans="1:15" x14ac:dyDescent="0.25">
      <c r="A56" s="35"/>
      <c r="B56" s="35" t="s">
        <v>32</v>
      </c>
      <c r="C56" s="35" t="s">
        <v>307</v>
      </c>
      <c r="D56" s="36">
        <v>3</v>
      </c>
      <c r="E56" s="36">
        <v>0</v>
      </c>
      <c r="F56" s="36">
        <v>3</v>
      </c>
      <c r="G56" s="36">
        <v>0</v>
      </c>
      <c r="H56" s="36">
        <v>3</v>
      </c>
      <c r="I56" s="36">
        <v>2</v>
      </c>
      <c r="J56" s="37">
        <f t="shared" si="0"/>
        <v>9</v>
      </c>
      <c r="K56" s="37">
        <f t="shared" si="1"/>
        <v>2</v>
      </c>
      <c r="L56" s="38">
        <f t="shared" si="7"/>
        <v>0.22222222222222221</v>
      </c>
      <c r="M56" s="39" t="str">
        <f t="shared" si="2"/>
        <v>1,5</v>
      </c>
      <c r="N56" s="35" t="str">
        <f t="shared" si="3"/>
        <v>Sangat Baik</v>
      </c>
      <c r="O56" s="35" t="str">
        <f t="shared" si="4"/>
        <v>Terlampir Pada LHE ZI</v>
      </c>
    </row>
    <row r="57" spans="1:15" x14ac:dyDescent="0.25">
      <c r="A57" s="35"/>
      <c r="B57" s="35" t="s">
        <v>33</v>
      </c>
      <c r="C57" s="35" t="s">
        <v>307</v>
      </c>
      <c r="D57" s="36">
        <v>1</v>
      </c>
      <c r="E57" s="36">
        <v>0</v>
      </c>
      <c r="F57" s="36">
        <v>0</v>
      </c>
      <c r="G57" s="36">
        <v>0</v>
      </c>
      <c r="H57" s="36">
        <v>6</v>
      </c>
      <c r="I57" s="36">
        <v>0</v>
      </c>
      <c r="J57" s="37">
        <f t="shared" si="0"/>
        <v>7</v>
      </c>
      <c r="K57" s="37">
        <f t="shared" si="1"/>
        <v>0</v>
      </c>
      <c r="L57" s="38">
        <f t="shared" si="7"/>
        <v>0</v>
      </c>
      <c r="M57" s="39" t="str">
        <f t="shared" si="2"/>
        <v>0,5</v>
      </c>
      <c r="N57" s="35" t="str">
        <f t="shared" si="3"/>
        <v>Cukup</v>
      </c>
      <c r="O57" s="35" t="str">
        <f t="shared" si="4"/>
        <v>Terlampir Pada LHE ZI</v>
      </c>
    </row>
    <row r="58" spans="1:15" x14ac:dyDescent="0.25">
      <c r="A58" s="35"/>
      <c r="B58" s="35" t="s">
        <v>34</v>
      </c>
      <c r="C58" s="35" t="s">
        <v>307</v>
      </c>
      <c r="D58" s="36">
        <v>3</v>
      </c>
      <c r="E58" s="36">
        <v>2</v>
      </c>
      <c r="F58" s="36">
        <v>5</v>
      </c>
      <c r="G58" s="36">
        <v>0</v>
      </c>
      <c r="H58" s="36">
        <v>5</v>
      </c>
      <c r="I58" s="36">
        <v>0</v>
      </c>
      <c r="J58" s="37">
        <f t="shared" si="0"/>
        <v>13</v>
      </c>
      <c r="K58" s="37">
        <f t="shared" si="1"/>
        <v>2</v>
      </c>
      <c r="L58" s="38">
        <f t="shared" si="7"/>
        <v>0.15384615384615385</v>
      </c>
      <c r="M58" s="39" t="str">
        <f t="shared" si="2"/>
        <v>1,5</v>
      </c>
      <c r="N58" s="35" t="str">
        <f t="shared" si="3"/>
        <v>Sangat Baik</v>
      </c>
      <c r="O58" s="35" t="str">
        <f t="shared" si="4"/>
        <v>Terlampir Pada LHE ZI</v>
      </c>
    </row>
    <row r="59" spans="1:15" x14ac:dyDescent="0.25">
      <c r="A59" s="35"/>
      <c r="B59" s="35" t="s">
        <v>35</v>
      </c>
      <c r="C59" s="35" t="s">
        <v>307</v>
      </c>
      <c r="D59" s="36">
        <v>3</v>
      </c>
      <c r="E59" s="36">
        <v>1</v>
      </c>
      <c r="F59" s="36">
        <v>5</v>
      </c>
      <c r="G59" s="36">
        <v>0</v>
      </c>
      <c r="H59" s="36">
        <v>6</v>
      </c>
      <c r="I59" s="36">
        <v>0</v>
      </c>
      <c r="J59" s="37">
        <f t="shared" si="0"/>
        <v>14</v>
      </c>
      <c r="K59" s="37">
        <f t="shared" si="1"/>
        <v>1</v>
      </c>
      <c r="L59" s="38">
        <f t="shared" si="7"/>
        <v>7.1428571428571425E-2</v>
      </c>
      <c r="M59" s="39" t="str">
        <f t="shared" si="2"/>
        <v>0,75</v>
      </c>
      <c r="N59" s="35" t="str">
        <f t="shared" si="3"/>
        <v>Baik</v>
      </c>
      <c r="O59" s="35" t="str">
        <f t="shared" si="4"/>
        <v>Terlampir Pada LHE ZI</v>
      </c>
    </row>
    <row r="60" spans="1:15" x14ac:dyDescent="0.25">
      <c r="A60" s="35"/>
      <c r="B60" s="35" t="s">
        <v>36</v>
      </c>
      <c r="C60" s="35" t="s">
        <v>307</v>
      </c>
      <c r="D60" s="36">
        <v>3</v>
      </c>
      <c r="E60" s="36">
        <v>1</v>
      </c>
      <c r="F60" s="36">
        <v>5</v>
      </c>
      <c r="G60" s="36">
        <v>0</v>
      </c>
      <c r="H60" s="36">
        <v>4</v>
      </c>
      <c r="I60" s="36">
        <v>2</v>
      </c>
      <c r="J60" s="37">
        <f t="shared" si="0"/>
        <v>12</v>
      </c>
      <c r="K60" s="37">
        <f t="shared" si="1"/>
        <v>3</v>
      </c>
      <c r="L60" s="38">
        <f t="shared" si="7"/>
        <v>0.25</v>
      </c>
      <c r="M60" s="39" t="str">
        <f t="shared" si="2"/>
        <v>1,5</v>
      </c>
      <c r="N60" s="35" t="str">
        <f t="shared" si="3"/>
        <v>Sangat Baik</v>
      </c>
      <c r="O60" s="35" t="str">
        <f t="shared" si="4"/>
        <v>Terlampir Pada LHE ZI</v>
      </c>
    </row>
    <row r="61" spans="1:15" x14ac:dyDescent="0.25">
      <c r="A61" s="35"/>
      <c r="B61" s="35" t="s">
        <v>37</v>
      </c>
      <c r="C61" s="35" t="s">
        <v>307</v>
      </c>
      <c r="D61" s="36">
        <v>0</v>
      </c>
      <c r="E61" s="36">
        <v>0</v>
      </c>
      <c r="F61" s="36">
        <v>1</v>
      </c>
      <c r="G61" s="36">
        <v>0</v>
      </c>
      <c r="H61" s="36">
        <v>1</v>
      </c>
      <c r="I61" s="36">
        <v>0</v>
      </c>
      <c r="J61" s="37">
        <f t="shared" si="0"/>
        <v>2</v>
      </c>
      <c r="K61" s="37">
        <f t="shared" si="1"/>
        <v>0</v>
      </c>
      <c r="L61" s="38">
        <f t="shared" si="7"/>
        <v>0</v>
      </c>
      <c r="M61" s="39" t="str">
        <f t="shared" si="2"/>
        <v>0,5</v>
      </c>
      <c r="N61" s="35" t="str">
        <f t="shared" si="3"/>
        <v>Cukup</v>
      </c>
      <c r="O61" s="35" t="str">
        <f t="shared" si="4"/>
        <v>Terlampir Pada LHE ZI</v>
      </c>
    </row>
    <row r="62" spans="1:15" x14ac:dyDescent="0.25">
      <c r="A62" s="35"/>
      <c r="B62" s="35" t="s">
        <v>38</v>
      </c>
      <c r="C62" s="35" t="s">
        <v>307</v>
      </c>
      <c r="D62" s="36">
        <v>0</v>
      </c>
      <c r="E62" s="36">
        <v>0</v>
      </c>
      <c r="F62" s="36">
        <v>3</v>
      </c>
      <c r="G62" s="36">
        <v>0</v>
      </c>
      <c r="H62" s="36">
        <v>4</v>
      </c>
      <c r="I62" s="36">
        <v>0</v>
      </c>
      <c r="J62" s="37">
        <f t="shared" si="0"/>
        <v>7</v>
      </c>
      <c r="K62" s="37">
        <f t="shared" si="1"/>
        <v>0</v>
      </c>
      <c r="L62" s="38">
        <f t="shared" si="7"/>
        <v>0</v>
      </c>
      <c r="M62" s="39" t="str">
        <f t="shared" si="2"/>
        <v>0,5</v>
      </c>
      <c r="N62" s="35" t="str">
        <f t="shared" si="3"/>
        <v>Cukup</v>
      </c>
      <c r="O62" s="35" t="str">
        <f t="shared" si="4"/>
        <v>Terlampir Pada LHE ZI</v>
      </c>
    </row>
    <row r="63" spans="1:15" x14ac:dyDescent="0.25">
      <c r="A63" s="35"/>
      <c r="B63" s="35" t="s">
        <v>39</v>
      </c>
      <c r="C63" s="35" t="s">
        <v>307</v>
      </c>
      <c r="D63" s="36">
        <v>3</v>
      </c>
      <c r="E63" s="36">
        <v>0</v>
      </c>
      <c r="F63" s="36">
        <v>4</v>
      </c>
      <c r="G63" s="36">
        <v>0</v>
      </c>
      <c r="H63" s="36">
        <v>4</v>
      </c>
      <c r="I63" s="36">
        <v>1</v>
      </c>
      <c r="J63" s="37">
        <f t="shared" si="0"/>
        <v>11</v>
      </c>
      <c r="K63" s="37">
        <f t="shared" si="1"/>
        <v>1</v>
      </c>
      <c r="L63" s="38">
        <f t="shared" si="7"/>
        <v>9.0909090909090912E-2</v>
      </c>
      <c r="M63" s="39" t="str">
        <f t="shared" si="2"/>
        <v>0,75</v>
      </c>
      <c r="N63" s="35" t="str">
        <f t="shared" si="3"/>
        <v>Baik</v>
      </c>
      <c r="O63" s="35" t="str">
        <f t="shared" si="4"/>
        <v>Terlampir Pada LHE ZI</v>
      </c>
    </row>
    <row r="64" spans="1:15" x14ac:dyDescent="0.25">
      <c r="A64" s="35"/>
      <c r="B64" s="35" t="s">
        <v>40</v>
      </c>
      <c r="C64" s="35" t="s">
        <v>307</v>
      </c>
      <c r="D64" s="36">
        <v>3</v>
      </c>
      <c r="E64" s="36">
        <v>0</v>
      </c>
      <c r="F64" s="36">
        <v>5</v>
      </c>
      <c r="G64" s="36">
        <v>0</v>
      </c>
      <c r="H64" s="36">
        <v>8</v>
      </c>
      <c r="I64" s="36">
        <v>2</v>
      </c>
      <c r="J64" s="37">
        <f t="shared" si="0"/>
        <v>16</v>
      </c>
      <c r="K64" s="37">
        <f t="shared" si="1"/>
        <v>2</v>
      </c>
      <c r="L64" s="38">
        <f t="shared" si="7"/>
        <v>0.125</v>
      </c>
      <c r="M64" s="39" t="str">
        <f t="shared" si="2"/>
        <v>1,5</v>
      </c>
      <c r="N64" s="35" t="str">
        <f t="shared" si="3"/>
        <v>Sangat Baik</v>
      </c>
      <c r="O64" s="35" t="str">
        <f t="shared" si="4"/>
        <v>Terlampir Pada LHE ZI</v>
      </c>
    </row>
    <row r="65" spans="1:15" x14ac:dyDescent="0.25">
      <c r="A65" s="35"/>
      <c r="B65" s="35" t="s">
        <v>423</v>
      </c>
      <c r="C65" s="35" t="s">
        <v>307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7">
        <f t="shared" si="0"/>
        <v>0</v>
      </c>
      <c r="K65" s="37">
        <f t="shared" si="1"/>
        <v>0</v>
      </c>
      <c r="L65" s="38" t="e">
        <v>#DIV/0!</v>
      </c>
      <c r="M65" s="39">
        <v>0</v>
      </c>
      <c r="N65" s="35" t="str">
        <f t="shared" si="3"/>
        <v>Kurang</v>
      </c>
      <c r="O65" s="35" t="str">
        <f t="shared" si="4"/>
        <v>Isi Rekomendasi</v>
      </c>
    </row>
    <row r="66" spans="1:15" x14ac:dyDescent="0.25">
      <c r="A66" s="35"/>
      <c r="B66" s="35" t="s">
        <v>41</v>
      </c>
      <c r="C66" s="35" t="s">
        <v>307</v>
      </c>
      <c r="D66" s="36">
        <v>0</v>
      </c>
      <c r="E66" s="36">
        <v>0</v>
      </c>
      <c r="F66" s="36">
        <v>3</v>
      </c>
      <c r="G66" s="36">
        <v>0</v>
      </c>
      <c r="H66" s="36">
        <v>3</v>
      </c>
      <c r="I66" s="36">
        <v>0</v>
      </c>
      <c r="J66" s="37">
        <f t="shared" si="0"/>
        <v>6</v>
      </c>
      <c r="K66" s="37">
        <f t="shared" si="1"/>
        <v>0</v>
      </c>
      <c r="L66" s="38">
        <f t="shared" ref="L66:L72" si="8">K66/J66</f>
        <v>0</v>
      </c>
      <c r="M66" s="39" t="str">
        <f t="shared" si="2"/>
        <v>0,5</v>
      </c>
      <c r="N66" s="35" t="str">
        <f t="shared" si="3"/>
        <v>Cukup</v>
      </c>
      <c r="O66" s="35" t="str">
        <f t="shared" si="4"/>
        <v>Terlampir Pada LHE ZI</v>
      </c>
    </row>
    <row r="67" spans="1:15" x14ac:dyDescent="0.25">
      <c r="A67" s="35"/>
      <c r="B67" s="35" t="s">
        <v>42</v>
      </c>
      <c r="C67" s="35" t="s">
        <v>307</v>
      </c>
      <c r="D67" s="36">
        <v>3</v>
      </c>
      <c r="E67" s="36">
        <v>1</v>
      </c>
      <c r="F67" s="36">
        <v>5</v>
      </c>
      <c r="G67" s="36">
        <v>0</v>
      </c>
      <c r="H67" s="36">
        <v>3</v>
      </c>
      <c r="I67" s="36">
        <v>0</v>
      </c>
      <c r="J67" s="37">
        <f t="shared" si="0"/>
        <v>11</v>
      </c>
      <c r="K67" s="37">
        <f t="shared" si="1"/>
        <v>1</v>
      </c>
      <c r="L67" s="38">
        <f t="shared" si="8"/>
        <v>9.0909090909090912E-2</v>
      </c>
      <c r="M67" s="39" t="str">
        <f t="shared" si="2"/>
        <v>0,75</v>
      </c>
      <c r="N67" s="35" t="str">
        <f t="shared" si="3"/>
        <v>Baik</v>
      </c>
      <c r="O67" s="35" t="str">
        <f t="shared" si="4"/>
        <v>Terlampir Pada LHE ZI</v>
      </c>
    </row>
    <row r="68" spans="1:15" x14ac:dyDescent="0.25">
      <c r="A68" s="35"/>
      <c r="B68" s="35" t="s">
        <v>43</v>
      </c>
      <c r="C68" s="35" t="s">
        <v>307</v>
      </c>
      <c r="D68" s="36">
        <v>0</v>
      </c>
      <c r="E68" s="36">
        <v>0</v>
      </c>
      <c r="F68" s="36">
        <v>0</v>
      </c>
      <c r="G68" s="36">
        <v>0</v>
      </c>
      <c r="H68" s="36">
        <v>3</v>
      </c>
      <c r="I68" s="36">
        <v>0</v>
      </c>
      <c r="J68" s="37">
        <f t="shared" ref="J68:J131" si="9">D68+F68+H68</f>
        <v>3</v>
      </c>
      <c r="K68" s="37">
        <f t="shared" ref="K68:K131" si="10">E68+G68+I68</f>
        <v>0</v>
      </c>
      <c r="L68" s="38">
        <f t="shared" si="8"/>
        <v>0</v>
      </c>
      <c r="M68" s="39" t="str">
        <f t="shared" ref="M68:M130" si="11">IF(AND(C68="KL",L68&gt;75%),"3",IF(AND(C68="KL",L68&gt;40%),"2",IF(AND(C68="KL",L68&gt;10%),"1",IF(AND(C68="KL",L68&gt;0.1%),"0,75",IF(AND(C68="KL",L68&gt;=0%),"0,5",IF(AND(C68="Pemda",L68&gt;75%),"3,5",IF(AND(C68="Pemda",L68&gt;40%),"2,5",IF(AND(C68="Pemda",L68&gt;10%),"1,5",IF(AND(C68="Pemda",L68&gt;0.1%),"0,75",IF(AND(C68="Pemda",L68&gt;=0%),"0,5","0"))))))))))</f>
        <v>0,5</v>
      </c>
      <c r="N68" s="35" t="str">
        <f t="shared" ref="N68:N131" si="12">_xlfn.IFS(AND(C68="KL",M68="3"),"Sangat Memuaskan",AND(C68="Pemda",M68="3,5"),"Sangat Memuaskan",AND(C68="KL",M68="2"),"Memuaskan",AND(C68="Pemda",M68="2,5"),"Memuaskan",AND(C68="KL",M68="1"),"Sangat Baik",AND(C68="Pemda",M68="1,5"),"Sangat Baik",AND(C68="KL",M68="0,75"),"Baik",AND(C68="Pemda",M68="0,75"),"Baik",AND(C68="KL",M68="0,5"),"Cukup",AND(C68="Pemda",M68="0,5"),"Cukup",AND(C68="KL",M68&lt;0.5),"Kurang",AND(C68="Pemda",M68&lt;0.5),"Kurang")</f>
        <v>Cukup</v>
      </c>
      <c r="O68" s="35" t="str">
        <f t="shared" ref="O68:O131" si="13">IF(N68="Kurang","Isi Rekomendasi","Terlampir Pada LHE ZI")</f>
        <v>Terlampir Pada LHE ZI</v>
      </c>
    </row>
    <row r="69" spans="1:15" x14ac:dyDescent="0.25">
      <c r="A69" s="35"/>
      <c r="B69" s="35" t="s">
        <v>370</v>
      </c>
      <c r="C69" s="35" t="s">
        <v>307</v>
      </c>
      <c r="D69" s="36">
        <v>2</v>
      </c>
      <c r="E69" s="36">
        <v>1</v>
      </c>
      <c r="F69" s="36">
        <v>1</v>
      </c>
      <c r="G69" s="36">
        <v>0</v>
      </c>
      <c r="H69" s="36">
        <v>0</v>
      </c>
      <c r="I69" s="36">
        <v>0</v>
      </c>
      <c r="J69" s="37">
        <f t="shared" si="9"/>
        <v>3</v>
      </c>
      <c r="K69" s="37">
        <f t="shared" si="10"/>
        <v>1</v>
      </c>
      <c r="L69" s="38">
        <f t="shared" si="8"/>
        <v>0.33333333333333331</v>
      </c>
      <c r="M69" s="39" t="str">
        <f t="shared" si="11"/>
        <v>1,5</v>
      </c>
      <c r="N69" s="35" t="str">
        <f t="shared" si="12"/>
        <v>Sangat Baik</v>
      </c>
      <c r="O69" s="35" t="str">
        <f t="shared" si="13"/>
        <v>Terlampir Pada LHE ZI</v>
      </c>
    </row>
    <row r="70" spans="1:15" x14ac:dyDescent="0.25">
      <c r="A70" s="35"/>
      <c r="B70" s="35" t="s">
        <v>44</v>
      </c>
      <c r="C70" s="35" t="s">
        <v>307</v>
      </c>
      <c r="D70" s="36">
        <v>3</v>
      </c>
      <c r="E70" s="36">
        <v>0</v>
      </c>
      <c r="F70" s="36">
        <v>4</v>
      </c>
      <c r="G70" s="36">
        <v>0</v>
      </c>
      <c r="H70" s="36">
        <v>3</v>
      </c>
      <c r="I70" s="36">
        <v>0</v>
      </c>
      <c r="J70" s="37">
        <f t="shared" si="9"/>
        <v>10</v>
      </c>
      <c r="K70" s="37">
        <f t="shared" si="10"/>
        <v>0</v>
      </c>
      <c r="L70" s="38">
        <f t="shared" si="8"/>
        <v>0</v>
      </c>
      <c r="M70" s="39" t="str">
        <f t="shared" si="11"/>
        <v>0,5</v>
      </c>
      <c r="N70" s="35" t="str">
        <f t="shared" si="12"/>
        <v>Cukup</v>
      </c>
      <c r="O70" s="35" t="str">
        <f t="shared" si="13"/>
        <v>Terlampir Pada LHE ZI</v>
      </c>
    </row>
    <row r="71" spans="1:15" x14ac:dyDescent="0.25">
      <c r="A71" s="35"/>
      <c r="B71" s="35" t="s">
        <v>45</v>
      </c>
      <c r="C71" s="35" t="s">
        <v>307</v>
      </c>
      <c r="D71" s="36">
        <v>3</v>
      </c>
      <c r="E71" s="36">
        <v>1</v>
      </c>
      <c r="F71" s="36">
        <v>7</v>
      </c>
      <c r="G71" s="36">
        <v>1</v>
      </c>
      <c r="H71" s="36">
        <v>4</v>
      </c>
      <c r="I71" s="36">
        <v>0</v>
      </c>
      <c r="J71" s="37">
        <f t="shared" si="9"/>
        <v>14</v>
      </c>
      <c r="K71" s="37">
        <f t="shared" si="10"/>
        <v>2</v>
      </c>
      <c r="L71" s="38">
        <f t="shared" si="8"/>
        <v>0.14285714285714285</v>
      </c>
      <c r="M71" s="39" t="str">
        <f t="shared" si="11"/>
        <v>1,5</v>
      </c>
      <c r="N71" s="35" t="str">
        <f t="shared" si="12"/>
        <v>Sangat Baik</v>
      </c>
      <c r="O71" s="35" t="str">
        <f t="shared" si="13"/>
        <v>Terlampir Pada LHE ZI</v>
      </c>
    </row>
    <row r="72" spans="1:15" x14ac:dyDescent="0.25">
      <c r="A72" s="35"/>
      <c r="B72" s="35" t="s">
        <v>46</v>
      </c>
      <c r="C72" s="35" t="s">
        <v>307</v>
      </c>
      <c r="D72" s="36">
        <v>3</v>
      </c>
      <c r="E72" s="36">
        <v>0</v>
      </c>
      <c r="F72" s="36">
        <v>2</v>
      </c>
      <c r="G72" s="36">
        <v>0</v>
      </c>
      <c r="H72" s="36">
        <v>6</v>
      </c>
      <c r="I72" s="36">
        <v>0</v>
      </c>
      <c r="J72" s="37">
        <f t="shared" si="9"/>
        <v>11</v>
      </c>
      <c r="K72" s="37">
        <f t="shared" si="10"/>
        <v>0</v>
      </c>
      <c r="L72" s="38">
        <f t="shared" si="8"/>
        <v>0</v>
      </c>
      <c r="M72" s="39" t="str">
        <f t="shared" si="11"/>
        <v>0,5</v>
      </c>
      <c r="N72" s="35" t="str">
        <f t="shared" si="12"/>
        <v>Cukup</v>
      </c>
      <c r="O72" s="35" t="str">
        <f t="shared" si="13"/>
        <v>Terlampir Pada LHE ZI</v>
      </c>
    </row>
    <row r="73" spans="1:15" x14ac:dyDescent="0.25">
      <c r="A73" s="35"/>
      <c r="B73" s="35" t="s">
        <v>424</v>
      </c>
      <c r="C73" s="35" t="s">
        <v>307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7">
        <f t="shared" si="9"/>
        <v>0</v>
      </c>
      <c r="K73" s="37">
        <f t="shared" si="10"/>
        <v>0</v>
      </c>
      <c r="L73" s="38" t="e">
        <v>#DIV/0!</v>
      </c>
      <c r="M73" s="39">
        <v>0</v>
      </c>
      <c r="N73" s="35" t="str">
        <f t="shared" si="12"/>
        <v>Kurang</v>
      </c>
      <c r="O73" s="35" t="str">
        <f t="shared" si="13"/>
        <v>Isi Rekomendasi</v>
      </c>
    </row>
    <row r="74" spans="1:15" x14ac:dyDescent="0.25">
      <c r="A74" s="35"/>
      <c r="B74" s="35" t="s">
        <v>47</v>
      </c>
      <c r="C74" s="35" t="s">
        <v>307</v>
      </c>
      <c r="D74" s="36">
        <v>3</v>
      </c>
      <c r="E74" s="36">
        <v>0</v>
      </c>
      <c r="F74" s="36">
        <v>6</v>
      </c>
      <c r="G74" s="36">
        <v>0</v>
      </c>
      <c r="H74" s="36">
        <v>4</v>
      </c>
      <c r="I74" s="36">
        <v>2</v>
      </c>
      <c r="J74" s="37">
        <f t="shared" si="9"/>
        <v>13</v>
      </c>
      <c r="K74" s="37">
        <f t="shared" si="10"/>
        <v>2</v>
      </c>
      <c r="L74" s="38">
        <f>K74/J74</f>
        <v>0.15384615384615385</v>
      </c>
      <c r="M74" s="39" t="str">
        <f t="shared" si="11"/>
        <v>1,5</v>
      </c>
      <c r="N74" s="35" t="str">
        <f t="shared" si="12"/>
        <v>Sangat Baik</v>
      </c>
      <c r="O74" s="35" t="str">
        <f t="shared" si="13"/>
        <v>Terlampir Pada LHE ZI</v>
      </c>
    </row>
    <row r="75" spans="1:15" x14ac:dyDescent="0.25">
      <c r="A75" s="35"/>
      <c r="B75" s="35" t="s">
        <v>48</v>
      </c>
      <c r="C75" s="35" t="s">
        <v>307</v>
      </c>
      <c r="D75" s="36">
        <v>3</v>
      </c>
      <c r="E75" s="36">
        <v>2</v>
      </c>
      <c r="F75" s="36">
        <v>2</v>
      </c>
      <c r="G75" s="36">
        <v>0</v>
      </c>
      <c r="H75" s="36">
        <v>3</v>
      </c>
      <c r="I75" s="36">
        <v>0</v>
      </c>
      <c r="J75" s="37">
        <f t="shared" si="9"/>
        <v>8</v>
      </c>
      <c r="K75" s="37">
        <f t="shared" si="10"/>
        <v>2</v>
      </c>
      <c r="L75" s="38">
        <f>K75/J75</f>
        <v>0.25</v>
      </c>
      <c r="M75" s="39" t="str">
        <f t="shared" si="11"/>
        <v>1,5</v>
      </c>
      <c r="N75" s="35" t="str">
        <f t="shared" si="12"/>
        <v>Sangat Baik</v>
      </c>
      <c r="O75" s="35" t="str">
        <f t="shared" si="13"/>
        <v>Terlampir Pada LHE ZI</v>
      </c>
    </row>
    <row r="76" spans="1:15" x14ac:dyDescent="0.25">
      <c r="A76" s="35"/>
      <c r="B76" s="35" t="s">
        <v>49</v>
      </c>
      <c r="C76" s="35" t="s">
        <v>307</v>
      </c>
      <c r="D76" s="36">
        <v>2</v>
      </c>
      <c r="E76" s="36">
        <v>1</v>
      </c>
      <c r="F76" s="36">
        <v>7</v>
      </c>
      <c r="G76" s="36">
        <v>0</v>
      </c>
      <c r="H76" s="36">
        <v>5</v>
      </c>
      <c r="I76" s="36">
        <v>0</v>
      </c>
      <c r="J76" s="37">
        <f t="shared" si="9"/>
        <v>14</v>
      </c>
      <c r="K76" s="37">
        <f t="shared" si="10"/>
        <v>1</v>
      </c>
      <c r="L76" s="38">
        <f>K76/J76</f>
        <v>7.1428571428571425E-2</v>
      </c>
      <c r="M76" s="39" t="str">
        <f t="shared" si="11"/>
        <v>0,75</v>
      </c>
      <c r="N76" s="35" t="str">
        <f t="shared" si="12"/>
        <v>Baik</v>
      </c>
      <c r="O76" s="35" t="str">
        <f t="shared" si="13"/>
        <v>Terlampir Pada LHE ZI</v>
      </c>
    </row>
    <row r="77" spans="1:15" x14ac:dyDescent="0.25">
      <c r="A77" s="35"/>
      <c r="B77" s="35" t="s">
        <v>50</v>
      </c>
      <c r="C77" s="35" t="s">
        <v>307</v>
      </c>
      <c r="D77" s="36">
        <v>2</v>
      </c>
      <c r="E77" s="36">
        <v>0</v>
      </c>
      <c r="F77" s="36">
        <v>2</v>
      </c>
      <c r="G77" s="36">
        <v>0</v>
      </c>
      <c r="H77" s="36">
        <v>4</v>
      </c>
      <c r="I77" s="36">
        <v>1</v>
      </c>
      <c r="J77" s="37">
        <f t="shared" si="9"/>
        <v>8</v>
      </c>
      <c r="K77" s="37">
        <f t="shared" si="10"/>
        <v>1</v>
      </c>
      <c r="L77" s="38">
        <f>K77/J77</f>
        <v>0.125</v>
      </c>
      <c r="M77" s="39" t="str">
        <f t="shared" si="11"/>
        <v>1,5</v>
      </c>
      <c r="N77" s="35" t="str">
        <f t="shared" si="12"/>
        <v>Sangat Baik</v>
      </c>
      <c r="O77" s="35" t="str">
        <f t="shared" si="13"/>
        <v>Terlampir Pada LHE ZI</v>
      </c>
    </row>
    <row r="78" spans="1:15" x14ac:dyDescent="0.25">
      <c r="A78" s="35"/>
      <c r="B78" s="35" t="s">
        <v>51</v>
      </c>
      <c r="C78" s="35" t="s">
        <v>307</v>
      </c>
      <c r="D78" s="36">
        <v>3</v>
      </c>
      <c r="E78" s="36">
        <v>0</v>
      </c>
      <c r="F78" s="36">
        <v>6</v>
      </c>
      <c r="G78" s="36">
        <v>0</v>
      </c>
      <c r="H78" s="36">
        <v>3</v>
      </c>
      <c r="I78" s="36">
        <v>1</v>
      </c>
      <c r="J78" s="37">
        <f t="shared" si="9"/>
        <v>12</v>
      </c>
      <c r="K78" s="37">
        <f t="shared" si="10"/>
        <v>1</v>
      </c>
      <c r="L78" s="38">
        <f>K78/J78</f>
        <v>8.3333333333333329E-2</v>
      </c>
      <c r="M78" s="39" t="str">
        <f t="shared" si="11"/>
        <v>0,75</v>
      </c>
      <c r="N78" s="35" t="str">
        <f t="shared" si="12"/>
        <v>Baik</v>
      </c>
      <c r="O78" s="35" t="str">
        <f t="shared" si="13"/>
        <v>Terlampir Pada LHE ZI</v>
      </c>
    </row>
    <row r="79" spans="1:15" x14ac:dyDescent="0.25">
      <c r="A79" s="35"/>
      <c r="B79" s="35" t="s">
        <v>425</v>
      </c>
      <c r="C79" s="35" t="s">
        <v>307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7">
        <f t="shared" si="9"/>
        <v>0</v>
      </c>
      <c r="K79" s="37">
        <f t="shared" si="10"/>
        <v>0</v>
      </c>
      <c r="L79" s="38" t="e">
        <v>#DIV/0!</v>
      </c>
      <c r="M79" s="39">
        <v>0</v>
      </c>
      <c r="N79" s="35" t="str">
        <f t="shared" si="12"/>
        <v>Kurang</v>
      </c>
      <c r="O79" s="35" t="str">
        <f t="shared" si="13"/>
        <v>Isi Rekomendasi</v>
      </c>
    </row>
    <row r="80" spans="1:15" x14ac:dyDescent="0.25">
      <c r="A80" s="35"/>
      <c r="B80" s="35" t="s">
        <v>52</v>
      </c>
      <c r="C80" s="35" t="s">
        <v>307</v>
      </c>
      <c r="D80" s="36">
        <v>3</v>
      </c>
      <c r="E80" s="36">
        <v>0</v>
      </c>
      <c r="F80" s="36">
        <v>2</v>
      </c>
      <c r="G80" s="36">
        <v>0</v>
      </c>
      <c r="H80" s="36">
        <v>5</v>
      </c>
      <c r="I80" s="36">
        <v>0</v>
      </c>
      <c r="J80" s="37">
        <f t="shared" si="9"/>
        <v>10</v>
      </c>
      <c r="K80" s="37">
        <f t="shared" si="10"/>
        <v>0</v>
      </c>
      <c r="L80" s="38">
        <f t="shared" ref="L80:L88" si="14">K80/J80</f>
        <v>0</v>
      </c>
      <c r="M80" s="39" t="str">
        <f t="shared" si="11"/>
        <v>0,5</v>
      </c>
      <c r="N80" s="35" t="str">
        <f t="shared" si="12"/>
        <v>Cukup</v>
      </c>
      <c r="O80" s="35" t="str">
        <f t="shared" si="13"/>
        <v>Terlampir Pada LHE ZI</v>
      </c>
    </row>
    <row r="81" spans="1:15" x14ac:dyDescent="0.25">
      <c r="A81" s="35"/>
      <c r="B81" s="35" t="s">
        <v>53</v>
      </c>
      <c r="C81" s="35" t="s">
        <v>307</v>
      </c>
      <c r="D81" s="36">
        <v>3</v>
      </c>
      <c r="E81" s="36">
        <v>2</v>
      </c>
      <c r="F81" s="36">
        <v>5</v>
      </c>
      <c r="G81" s="36">
        <v>0</v>
      </c>
      <c r="H81" s="36">
        <v>10</v>
      </c>
      <c r="I81" s="36">
        <v>0</v>
      </c>
      <c r="J81" s="37">
        <f t="shared" si="9"/>
        <v>18</v>
      </c>
      <c r="K81" s="37">
        <f t="shared" si="10"/>
        <v>2</v>
      </c>
      <c r="L81" s="38">
        <f t="shared" si="14"/>
        <v>0.1111111111111111</v>
      </c>
      <c r="M81" s="39" t="str">
        <f t="shared" si="11"/>
        <v>1,5</v>
      </c>
      <c r="N81" s="35" t="str">
        <f t="shared" si="12"/>
        <v>Sangat Baik</v>
      </c>
      <c r="O81" s="35" t="str">
        <f t="shared" si="13"/>
        <v>Terlampir Pada LHE ZI</v>
      </c>
    </row>
    <row r="82" spans="1:15" x14ac:dyDescent="0.25">
      <c r="A82" s="35"/>
      <c r="B82" s="35" t="s">
        <v>54</v>
      </c>
      <c r="C82" s="35" t="s">
        <v>307</v>
      </c>
      <c r="D82" s="36">
        <v>3</v>
      </c>
      <c r="E82" s="36">
        <v>0</v>
      </c>
      <c r="F82" s="36">
        <v>3</v>
      </c>
      <c r="G82" s="36">
        <v>0</v>
      </c>
      <c r="H82" s="36">
        <v>3</v>
      </c>
      <c r="I82" s="36">
        <v>0</v>
      </c>
      <c r="J82" s="37">
        <f t="shared" si="9"/>
        <v>9</v>
      </c>
      <c r="K82" s="37">
        <f t="shared" si="10"/>
        <v>0</v>
      </c>
      <c r="L82" s="38">
        <f t="shared" si="14"/>
        <v>0</v>
      </c>
      <c r="M82" s="39" t="str">
        <f t="shared" si="11"/>
        <v>0,5</v>
      </c>
      <c r="N82" s="35" t="str">
        <f t="shared" si="12"/>
        <v>Cukup</v>
      </c>
      <c r="O82" s="35" t="str">
        <f t="shared" si="13"/>
        <v>Terlampir Pada LHE ZI</v>
      </c>
    </row>
    <row r="83" spans="1:15" x14ac:dyDescent="0.25">
      <c r="A83" s="35"/>
      <c r="B83" s="35" t="s">
        <v>55</v>
      </c>
      <c r="C83" s="35" t="s">
        <v>307</v>
      </c>
      <c r="D83" s="36">
        <v>3</v>
      </c>
      <c r="E83" s="36">
        <v>0</v>
      </c>
      <c r="F83" s="36">
        <v>5</v>
      </c>
      <c r="G83" s="36">
        <v>1</v>
      </c>
      <c r="H83" s="36">
        <v>5</v>
      </c>
      <c r="I83" s="36">
        <v>0</v>
      </c>
      <c r="J83" s="37">
        <f t="shared" si="9"/>
        <v>13</v>
      </c>
      <c r="K83" s="37">
        <f t="shared" si="10"/>
        <v>1</v>
      </c>
      <c r="L83" s="38">
        <f t="shared" si="14"/>
        <v>7.6923076923076927E-2</v>
      </c>
      <c r="M83" s="39" t="str">
        <f t="shared" si="11"/>
        <v>0,75</v>
      </c>
      <c r="N83" s="35" t="str">
        <f t="shared" si="12"/>
        <v>Baik</v>
      </c>
      <c r="O83" s="35" t="str">
        <f t="shared" si="13"/>
        <v>Terlampir Pada LHE ZI</v>
      </c>
    </row>
    <row r="84" spans="1:15" x14ac:dyDescent="0.25">
      <c r="A84" s="35"/>
      <c r="B84" s="35" t="s">
        <v>56</v>
      </c>
      <c r="C84" s="35" t="s">
        <v>307</v>
      </c>
      <c r="D84" s="36">
        <v>3</v>
      </c>
      <c r="E84" s="36">
        <v>0</v>
      </c>
      <c r="F84" s="36">
        <v>0</v>
      </c>
      <c r="G84" s="36">
        <v>0</v>
      </c>
      <c r="H84" s="36">
        <v>1</v>
      </c>
      <c r="I84" s="36">
        <v>0</v>
      </c>
      <c r="J84" s="37">
        <f t="shared" si="9"/>
        <v>4</v>
      </c>
      <c r="K84" s="37">
        <f t="shared" si="10"/>
        <v>0</v>
      </c>
      <c r="L84" s="38">
        <f t="shared" si="14"/>
        <v>0</v>
      </c>
      <c r="M84" s="39" t="str">
        <f t="shared" si="11"/>
        <v>0,5</v>
      </c>
      <c r="N84" s="35" t="str">
        <f t="shared" si="12"/>
        <v>Cukup</v>
      </c>
      <c r="O84" s="35" t="str">
        <f t="shared" si="13"/>
        <v>Terlampir Pada LHE ZI</v>
      </c>
    </row>
    <row r="85" spans="1:15" x14ac:dyDescent="0.25">
      <c r="A85" s="35"/>
      <c r="B85" s="35" t="s">
        <v>57</v>
      </c>
      <c r="C85" s="35" t="s">
        <v>307</v>
      </c>
      <c r="D85" s="36">
        <v>1</v>
      </c>
      <c r="E85" s="36">
        <v>0</v>
      </c>
      <c r="F85" s="36">
        <v>0</v>
      </c>
      <c r="G85" s="36">
        <v>0</v>
      </c>
      <c r="H85" s="36">
        <v>3</v>
      </c>
      <c r="I85" s="36">
        <v>0</v>
      </c>
      <c r="J85" s="37">
        <f t="shared" si="9"/>
        <v>4</v>
      </c>
      <c r="K85" s="37">
        <f t="shared" si="10"/>
        <v>0</v>
      </c>
      <c r="L85" s="38">
        <f t="shared" si="14"/>
        <v>0</v>
      </c>
      <c r="M85" s="39" t="str">
        <f t="shared" si="11"/>
        <v>0,5</v>
      </c>
      <c r="N85" s="35" t="str">
        <f t="shared" si="12"/>
        <v>Cukup</v>
      </c>
      <c r="O85" s="35" t="str">
        <f t="shared" si="13"/>
        <v>Terlampir Pada LHE ZI</v>
      </c>
    </row>
    <row r="86" spans="1:15" x14ac:dyDescent="0.25">
      <c r="A86" s="35"/>
      <c r="B86" s="35" t="s">
        <v>58</v>
      </c>
      <c r="C86" s="35" t="s">
        <v>307</v>
      </c>
      <c r="D86" s="36">
        <v>0</v>
      </c>
      <c r="E86" s="36">
        <v>0</v>
      </c>
      <c r="F86" s="36">
        <v>0</v>
      </c>
      <c r="G86" s="36">
        <v>0</v>
      </c>
      <c r="H86" s="36">
        <v>1</v>
      </c>
      <c r="I86" s="36">
        <v>0</v>
      </c>
      <c r="J86" s="37">
        <f t="shared" si="9"/>
        <v>1</v>
      </c>
      <c r="K86" s="37">
        <f t="shared" si="10"/>
        <v>0</v>
      </c>
      <c r="L86" s="38">
        <f t="shared" si="14"/>
        <v>0</v>
      </c>
      <c r="M86" s="39" t="str">
        <f t="shared" si="11"/>
        <v>0,5</v>
      </c>
      <c r="N86" s="35" t="str">
        <f t="shared" si="12"/>
        <v>Cukup</v>
      </c>
      <c r="O86" s="35" t="str">
        <f t="shared" si="13"/>
        <v>Terlampir Pada LHE ZI</v>
      </c>
    </row>
    <row r="87" spans="1:15" x14ac:dyDescent="0.25">
      <c r="A87" s="35"/>
      <c r="B87" s="35" t="s">
        <v>59</v>
      </c>
      <c r="C87" s="35" t="s">
        <v>307</v>
      </c>
      <c r="D87" s="36">
        <v>0</v>
      </c>
      <c r="E87" s="36">
        <v>0</v>
      </c>
      <c r="F87" s="36">
        <v>0</v>
      </c>
      <c r="G87" s="36">
        <v>0</v>
      </c>
      <c r="H87" s="36">
        <v>1</v>
      </c>
      <c r="I87" s="36">
        <v>0</v>
      </c>
      <c r="J87" s="37">
        <f t="shared" si="9"/>
        <v>1</v>
      </c>
      <c r="K87" s="37">
        <f t="shared" si="10"/>
        <v>0</v>
      </c>
      <c r="L87" s="38">
        <f t="shared" si="14"/>
        <v>0</v>
      </c>
      <c r="M87" s="39" t="str">
        <f t="shared" si="11"/>
        <v>0,5</v>
      </c>
      <c r="N87" s="35" t="str">
        <f t="shared" si="12"/>
        <v>Cukup</v>
      </c>
      <c r="O87" s="35" t="str">
        <f t="shared" si="13"/>
        <v>Terlampir Pada LHE ZI</v>
      </c>
    </row>
    <row r="88" spans="1:15" x14ac:dyDescent="0.25">
      <c r="A88" s="35"/>
      <c r="B88" s="35" t="s">
        <v>60</v>
      </c>
      <c r="C88" s="35" t="s">
        <v>307</v>
      </c>
      <c r="D88" s="36">
        <v>3</v>
      </c>
      <c r="E88" s="36">
        <v>0</v>
      </c>
      <c r="F88" s="36">
        <v>3</v>
      </c>
      <c r="G88" s="36">
        <v>0</v>
      </c>
      <c r="H88" s="36">
        <v>2</v>
      </c>
      <c r="I88" s="36">
        <v>0</v>
      </c>
      <c r="J88" s="37">
        <f t="shared" si="9"/>
        <v>8</v>
      </c>
      <c r="K88" s="37">
        <f t="shared" si="10"/>
        <v>0</v>
      </c>
      <c r="L88" s="38">
        <f t="shared" si="14"/>
        <v>0</v>
      </c>
      <c r="M88" s="39" t="str">
        <f t="shared" si="11"/>
        <v>0,5</v>
      </c>
      <c r="N88" s="35" t="str">
        <f t="shared" si="12"/>
        <v>Cukup</v>
      </c>
      <c r="O88" s="35" t="str">
        <f t="shared" si="13"/>
        <v>Terlampir Pada LHE ZI</v>
      </c>
    </row>
    <row r="89" spans="1:15" x14ac:dyDescent="0.25">
      <c r="A89" s="35"/>
      <c r="B89" s="35" t="s">
        <v>426</v>
      </c>
      <c r="C89" s="35" t="s">
        <v>307</v>
      </c>
      <c r="D89" s="36">
        <v>0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7">
        <f t="shared" si="9"/>
        <v>0</v>
      </c>
      <c r="K89" s="37">
        <f t="shared" si="10"/>
        <v>0</v>
      </c>
      <c r="L89" s="38" t="e">
        <v>#DIV/0!</v>
      </c>
      <c r="M89" s="39">
        <v>0</v>
      </c>
      <c r="N89" s="35" t="str">
        <f t="shared" si="12"/>
        <v>Kurang</v>
      </c>
      <c r="O89" s="35" t="str">
        <f t="shared" si="13"/>
        <v>Isi Rekomendasi</v>
      </c>
    </row>
    <row r="90" spans="1:15" x14ac:dyDescent="0.25">
      <c r="A90" s="35"/>
      <c r="B90" s="35" t="s">
        <v>376</v>
      </c>
      <c r="C90" s="35" t="s">
        <v>307</v>
      </c>
      <c r="D90" s="36">
        <v>0</v>
      </c>
      <c r="E90" s="36">
        <v>0</v>
      </c>
      <c r="F90" s="36">
        <v>0</v>
      </c>
      <c r="G90" s="36">
        <v>0</v>
      </c>
      <c r="H90" s="36">
        <v>0</v>
      </c>
      <c r="I90" s="36">
        <v>0</v>
      </c>
      <c r="J90" s="37">
        <f t="shared" si="9"/>
        <v>0</v>
      </c>
      <c r="K90" s="37">
        <f t="shared" si="10"/>
        <v>0</v>
      </c>
      <c r="L90" s="38" t="e">
        <v>#DIV/0!</v>
      </c>
      <c r="M90" s="39">
        <v>0</v>
      </c>
      <c r="N90" s="35" t="str">
        <f t="shared" si="12"/>
        <v>Kurang</v>
      </c>
      <c r="O90" s="35" t="str">
        <f t="shared" si="13"/>
        <v>Isi Rekomendasi</v>
      </c>
    </row>
    <row r="91" spans="1:15" x14ac:dyDescent="0.25">
      <c r="A91" s="35"/>
      <c r="B91" s="35" t="s">
        <v>427</v>
      </c>
      <c r="C91" s="35" t="s">
        <v>307</v>
      </c>
      <c r="D91" s="36">
        <v>0</v>
      </c>
      <c r="E91" s="36">
        <v>0</v>
      </c>
      <c r="F91" s="36">
        <v>0</v>
      </c>
      <c r="G91" s="36">
        <v>0</v>
      </c>
      <c r="H91" s="36">
        <v>0</v>
      </c>
      <c r="I91" s="36">
        <v>0</v>
      </c>
      <c r="J91" s="37">
        <f t="shared" si="9"/>
        <v>0</v>
      </c>
      <c r="K91" s="37">
        <f t="shared" si="10"/>
        <v>0</v>
      </c>
      <c r="L91" s="38" t="e">
        <v>#DIV/0!</v>
      </c>
      <c r="M91" s="39">
        <v>0</v>
      </c>
      <c r="N91" s="35" t="str">
        <f t="shared" si="12"/>
        <v>Kurang</v>
      </c>
      <c r="O91" s="35" t="str">
        <f t="shared" si="13"/>
        <v>Isi Rekomendasi</v>
      </c>
    </row>
    <row r="92" spans="1:15" x14ac:dyDescent="0.25">
      <c r="A92" s="35"/>
      <c r="B92" s="35" t="s">
        <v>61</v>
      </c>
      <c r="C92" s="35" t="s">
        <v>307</v>
      </c>
      <c r="D92" s="36">
        <v>0</v>
      </c>
      <c r="E92" s="36">
        <v>0</v>
      </c>
      <c r="F92" s="36">
        <v>0</v>
      </c>
      <c r="G92" s="36">
        <v>0</v>
      </c>
      <c r="H92" s="36">
        <v>1</v>
      </c>
      <c r="I92" s="36">
        <v>0</v>
      </c>
      <c r="J92" s="37">
        <f t="shared" si="9"/>
        <v>1</v>
      </c>
      <c r="K92" s="37">
        <f t="shared" si="10"/>
        <v>0</v>
      </c>
      <c r="L92" s="38">
        <f>K92/J92</f>
        <v>0</v>
      </c>
      <c r="M92" s="39" t="str">
        <f t="shared" si="11"/>
        <v>0,5</v>
      </c>
      <c r="N92" s="35" t="str">
        <f t="shared" si="12"/>
        <v>Cukup</v>
      </c>
      <c r="O92" s="35" t="str">
        <f t="shared" si="13"/>
        <v>Terlampir Pada LHE ZI</v>
      </c>
    </row>
    <row r="93" spans="1:15" x14ac:dyDescent="0.25">
      <c r="A93" s="35"/>
      <c r="B93" s="35" t="s">
        <v>62</v>
      </c>
      <c r="C93" s="35" t="s">
        <v>307</v>
      </c>
      <c r="D93" s="36">
        <v>0</v>
      </c>
      <c r="E93" s="36">
        <v>0</v>
      </c>
      <c r="F93" s="36">
        <v>0</v>
      </c>
      <c r="G93" s="36">
        <v>0</v>
      </c>
      <c r="H93" s="36">
        <v>2</v>
      </c>
      <c r="I93" s="36">
        <v>0</v>
      </c>
      <c r="J93" s="37">
        <f t="shared" si="9"/>
        <v>2</v>
      </c>
      <c r="K93" s="37">
        <f t="shared" si="10"/>
        <v>0</v>
      </c>
      <c r="L93" s="38">
        <f>K93/J93</f>
        <v>0</v>
      </c>
      <c r="M93" s="39" t="str">
        <f t="shared" si="11"/>
        <v>0,5</v>
      </c>
      <c r="N93" s="35" t="str">
        <f t="shared" si="12"/>
        <v>Cukup</v>
      </c>
      <c r="O93" s="35" t="str">
        <f t="shared" si="13"/>
        <v>Terlampir Pada LHE ZI</v>
      </c>
    </row>
    <row r="94" spans="1:15" x14ac:dyDescent="0.25">
      <c r="A94" s="35"/>
      <c r="B94" s="35" t="s">
        <v>428</v>
      </c>
      <c r="C94" s="35" t="s">
        <v>307</v>
      </c>
      <c r="D94" s="36">
        <v>0</v>
      </c>
      <c r="E94" s="36">
        <v>0</v>
      </c>
      <c r="F94" s="36">
        <v>0</v>
      </c>
      <c r="G94" s="36">
        <v>0</v>
      </c>
      <c r="H94" s="36">
        <v>0</v>
      </c>
      <c r="I94" s="36">
        <v>0</v>
      </c>
      <c r="J94" s="37">
        <f t="shared" si="9"/>
        <v>0</v>
      </c>
      <c r="K94" s="37">
        <f t="shared" si="10"/>
        <v>0</v>
      </c>
      <c r="L94" s="38" t="e">
        <v>#DIV/0!</v>
      </c>
      <c r="M94" s="39">
        <v>0</v>
      </c>
      <c r="N94" s="35" t="str">
        <f t="shared" si="12"/>
        <v>Kurang</v>
      </c>
      <c r="O94" s="35" t="str">
        <f t="shared" si="13"/>
        <v>Isi Rekomendasi</v>
      </c>
    </row>
    <row r="95" spans="1:15" x14ac:dyDescent="0.25">
      <c r="A95" s="35"/>
      <c r="B95" s="35" t="s">
        <v>63</v>
      </c>
      <c r="C95" s="35" t="s">
        <v>307</v>
      </c>
      <c r="D95" s="36">
        <v>0</v>
      </c>
      <c r="E95" s="36">
        <v>0</v>
      </c>
      <c r="F95" s="36">
        <v>0</v>
      </c>
      <c r="G95" s="36">
        <v>0</v>
      </c>
      <c r="H95" s="36">
        <v>1</v>
      </c>
      <c r="I95" s="36">
        <v>0</v>
      </c>
      <c r="J95" s="37">
        <f t="shared" si="9"/>
        <v>1</v>
      </c>
      <c r="K95" s="37">
        <f t="shared" si="10"/>
        <v>0</v>
      </c>
      <c r="L95" s="38">
        <f>K95/J95</f>
        <v>0</v>
      </c>
      <c r="M95" s="39" t="str">
        <f t="shared" si="11"/>
        <v>0,5</v>
      </c>
      <c r="N95" s="35" t="str">
        <f t="shared" si="12"/>
        <v>Cukup</v>
      </c>
      <c r="O95" s="35" t="str">
        <f t="shared" si="13"/>
        <v>Terlampir Pada LHE ZI</v>
      </c>
    </row>
    <row r="96" spans="1:15" x14ac:dyDescent="0.25">
      <c r="A96" s="35"/>
      <c r="B96" s="35" t="s">
        <v>429</v>
      </c>
      <c r="C96" s="35" t="s">
        <v>307</v>
      </c>
      <c r="D96" s="36">
        <v>0</v>
      </c>
      <c r="E96" s="36">
        <v>0</v>
      </c>
      <c r="F96" s="36">
        <v>0</v>
      </c>
      <c r="G96" s="36">
        <v>0</v>
      </c>
      <c r="H96" s="36">
        <v>0</v>
      </c>
      <c r="I96" s="36">
        <v>0</v>
      </c>
      <c r="J96" s="37">
        <f t="shared" si="9"/>
        <v>0</v>
      </c>
      <c r="K96" s="37">
        <f t="shared" si="10"/>
        <v>0</v>
      </c>
      <c r="L96" s="38" t="e">
        <v>#DIV/0!</v>
      </c>
      <c r="M96" s="39">
        <v>0</v>
      </c>
      <c r="N96" s="35" t="str">
        <f t="shared" si="12"/>
        <v>Kurang</v>
      </c>
      <c r="O96" s="35" t="str">
        <f t="shared" si="13"/>
        <v>Isi Rekomendasi</v>
      </c>
    </row>
    <row r="97" spans="1:15" x14ac:dyDescent="0.25">
      <c r="A97" s="35"/>
      <c r="B97" s="35" t="s">
        <v>430</v>
      </c>
      <c r="C97" s="35" t="s">
        <v>307</v>
      </c>
      <c r="D97" s="36">
        <v>0</v>
      </c>
      <c r="E97" s="36">
        <v>0</v>
      </c>
      <c r="F97" s="36">
        <v>0</v>
      </c>
      <c r="G97" s="36">
        <v>0</v>
      </c>
      <c r="H97" s="36">
        <v>0</v>
      </c>
      <c r="I97" s="36">
        <v>0</v>
      </c>
      <c r="J97" s="37">
        <f t="shared" si="9"/>
        <v>0</v>
      </c>
      <c r="K97" s="37">
        <f t="shared" si="10"/>
        <v>0</v>
      </c>
      <c r="L97" s="38" t="e">
        <v>#DIV/0!</v>
      </c>
      <c r="M97" s="39">
        <v>0</v>
      </c>
      <c r="N97" s="35" t="str">
        <f t="shared" si="12"/>
        <v>Kurang</v>
      </c>
      <c r="O97" s="35" t="str">
        <f t="shared" si="13"/>
        <v>Isi Rekomendasi</v>
      </c>
    </row>
    <row r="98" spans="1:15" x14ac:dyDescent="0.25">
      <c r="A98" s="35"/>
      <c r="B98" s="35" t="s">
        <v>64</v>
      </c>
      <c r="C98" s="35" t="s">
        <v>307</v>
      </c>
      <c r="D98" s="36">
        <v>3</v>
      </c>
      <c r="E98" s="36">
        <v>0</v>
      </c>
      <c r="F98" s="36">
        <v>2</v>
      </c>
      <c r="G98" s="36">
        <v>0</v>
      </c>
      <c r="H98" s="36">
        <v>2</v>
      </c>
      <c r="I98" s="36">
        <v>0</v>
      </c>
      <c r="J98" s="37">
        <f t="shared" si="9"/>
        <v>7</v>
      </c>
      <c r="K98" s="37">
        <f t="shared" si="10"/>
        <v>0</v>
      </c>
      <c r="L98" s="38">
        <f>K98/J98</f>
        <v>0</v>
      </c>
      <c r="M98" s="39" t="str">
        <f t="shared" si="11"/>
        <v>0,5</v>
      </c>
      <c r="N98" s="35" t="str">
        <f t="shared" si="12"/>
        <v>Cukup</v>
      </c>
      <c r="O98" s="35" t="str">
        <f t="shared" si="13"/>
        <v>Terlampir Pada LHE ZI</v>
      </c>
    </row>
    <row r="99" spans="1:15" x14ac:dyDescent="0.25">
      <c r="A99" s="35"/>
      <c r="B99" s="35" t="s">
        <v>65</v>
      </c>
      <c r="C99" s="35" t="s">
        <v>307</v>
      </c>
      <c r="D99" s="36">
        <v>3</v>
      </c>
      <c r="E99" s="36">
        <v>0</v>
      </c>
      <c r="F99" s="36">
        <v>6</v>
      </c>
      <c r="G99" s="36">
        <v>0</v>
      </c>
      <c r="H99" s="36">
        <v>2</v>
      </c>
      <c r="I99" s="36">
        <v>2</v>
      </c>
      <c r="J99" s="37">
        <f t="shared" si="9"/>
        <v>11</v>
      </c>
      <c r="K99" s="37">
        <f t="shared" si="10"/>
        <v>2</v>
      </c>
      <c r="L99" s="38">
        <f>K99/J99</f>
        <v>0.18181818181818182</v>
      </c>
      <c r="M99" s="39" t="str">
        <f t="shared" si="11"/>
        <v>1,5</v>
      </c>
      <c r="N99" s="35" t="str">
        <f t="shared" si="12"/>
        <v>Sangat Baik</v>
      </c>
      <c r="O99" s="35" t="str">
        <f t="shared" si="13"/>
        <v>Terlampir Pada LHE ZI</v>
      </c>
    </row>
    <row r="100" spans="1:15" x14ac:dyDescent="0.25">
      <c r="A100" s="35"/>
      <c r="B100" s="35" t="s">
        <v>431</v>
      </c>
      <c r="C100" s="35" t="s">
        <v>307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6">
        <v>0</v>
      </c>
      <c r="J100" s="37">
        <f t="shared" si="9"/>
        <v>0</v>
      </c>
      <c r="K100" s="37">
        <f t="shared" si="10"/>
        <v>0</v>
      </c>
      <c r="L100" s="38" t="e">
        <v>#DIV/0!</v>
      </c>
      <c r="M100" s="39">
        <v>0</v>
      </c>
      <c r="N100" s="35" t="str">
        <f t="shared" si="12"/>
        <v>Kurang</v>
      </c>
      <c r="O100" s="35" t="str">
        <f t="shared" si="13"/>
        <v>Isi Rekomendasi</v>
      </c>
    </row>
    <row r="101" spans="1:15" x14ac:dyDescent="0.25">
      <c r="A101" s="35"/>
      <c r="B101" s="35" t="s">
        <v>66</v>
      </c>
      <c r="C101" s="35" t="s">
        <v>307</v>
      </c>
      <c r="D101" s="36">
        <v>2</v>
      </c>
      <c r="E101" s="36">
        <v>0</v>
      </c>
      <c r="F101" s="36">
        <v>2</v>
      </c>
      <c r="G101" s="36">
        <v>0</v>
      </c>
      <c r="H101" s="36">
        <v>3</v>
      </c>
      <c r="I101" s="36">
        <v>0</v>
      </c>
      <c r="J101" s="37">
        <f t="shared" si="9"/>
        <v>7</v>
      </c>
      <c r="K101" s="37">
        <f t="shared" si="10"/>
        <v>0</v>
      </c>
      <c r="L101" s="38">
        <f>K101/J101</f>
        <v>0</v>
      </c>
      <c r="M101" s="39" t="str">
        <f t="shared" si="11"/>
        <v>0,5</v>
      </c>
      <c r="N101" s="35" t="str">
        <f t="shared" si="12"/>
        <v>Cukup</v>
      </c>
      <c r="O101" s="35" t="str">
        <f t="shared" si="13"/>
        <v>Terlampir Pada LHE ZI</v>
      </c>
    </row>
    <row r="102" spans="1:15" x14ac:dyDescent="0.25">
      <c r="A102" s="35"/>
      <c r="B102" s="35" t="s">
        <v>67</v>
      </c>
      <c r="C102" s="35" t="s">
        <v>307</v>
      </c>
      <c r="D102" s="36">
        <v>1</v>
      </c>
      <c r="E102" s="36">
        <v>0</v>
      </c>
      <c r="F102" s="36">
        <v>1</v>
      </c>
      <c r="G102" s="36">
        <v>1</v>
      </c>
      <c r="H102" s="36">
        <v>1</v>
      </c>
      <c r="I102" s="36">
        <v>0</v>
      </c>
      <c r="J102" s="37">
        <f t="shared" si="9"/>
        <v>3</v>
      </c>
      <c r="K102" s="37">
        <f t="shared" si="10"/>
        <v>1</v>
      </c>
      <c r="L102" s="38">
        <f>K102/J102</f>
        <v>0.33333333333333331</v>
      </c>
      <c r="M102" s="39" t="str">
        <f t="shared" si="11"/>
        <v>1,5</v>
      </c>
      <c r="N102" s="35" t="str">
        <f t="shared" si="12"/>
        <v>Sangat Baik</v>
      </c>
      <c r="O102" s="35" t="str">
        <f t="shared" si="13"/>
        <v>Terlampir Pada LHE ZI</v>
      </c>
    </row>
    <row r="103" spans="1:15" x14ac:dyDescent="0.25">
      <c r="A103" s="35"/>
      <c r="B103" s="35" t="s">
        <v>432</v>
      </c>
      <c r="C103" s="35" t="s">
        <v>307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7">
        <f t="shared" si="9"/>
        <v>0</v>
      </c>
      <c r="K103" s="37">
        <f t="shared" si="10"/>
        <v>0</v>
      </c>
      <c r="L103" s="38" t="e">
        <v>#DIV/0!</v>
      </c>
      <c r="M103" s="39">
        <v>0</v>
      </c>
      <c r="N103" s="35" t="str">
        <f t="shared" si="12"/>
        <v>Kurang</v>
      </c>
      <c r="O103" s="35" t="str">
        <f t="shared" si="13"/>
        <v>Isi Rekomendasi</v>
      </c>
    </row>
    <row r="104" spans="1:15" x14ac:dyDescent="0.25">
      <c r="A104" s="35"/>
      <c r="B104" s="35" t="s">
        <v>68</v>
      </c>
      <c r="C104" s="35" t="s">
        <v>307</v>
      </c>
      <c r="D104" s="36">
        <v>3</v>
      </c>
      <c r="E104" s="36">
        <v>0</v>
      </c>
      <c r="F104" s="36">
        <v>3</v>
      </c>
      <c r="G104" s="36">
        <v>0</v>
      </c>
      <c r="H104" s="36">
        <v>3</v>
      </c>
      <c r="I104" s="36">
        <v>0</v>
      </c>
      <c r="J104" s="37">
        <f t="shared" si="9"/>
        <v>9</v>
      </c>
      <c r="K104" s="37">
        <f t="shared" si="10"/>
        <v>0</v>
      </c>
      <c r="L104" s="38">
        <f>K104/J104</f>
        <v>0</v>
      </c>
      <c r="M104" s="39" t="str">
        <f t="shared" si="11"/>
        <v>0,5</v>
      </c>
      <c r="N104" s="35" t="str">
        <f t="shared" si="12"/>
        <v>Cukup</v>
      </c>
      <c r="O104" s="35" t="str">
        <f t="shared" si="13"/>
        <v>Terlampir Pada LHE ZI</v>
      </c>
    </row>
    <row r="105" spans="1:15" x14ac:dyDescent="0.25">
      <c r="A105" s="35"/>
      <c r="B105" s="35" t="s">
        <v>69</v>
      </c>
      <c r="C105" s="35" t="s">
        <v>307</v>
      </c>
      <c r="D105" s="36">
        <v>12</v>
      </c>
      <c r="E105" s="36">
        <v>1</v>
      </c>
      <c r="F105" s="36">
        <v>3</v>
      </c>
      <c r="G105" s="36">
        <v>0</v>
      </c>
      <c r="H105" s="36">
        <v>5</v>
      </c>
      <c r="I105" s="36">
        <v>2</v>
      </c>
      <c r="J105" s="37">
        <f t="shared" si="9"/>
        <v>20</v>
      </c>
      <c r="K105" s="37">
        <f t="shared" si="10"/>
        <v>3</v>
      </c>
      <c r="L105" s="38">
        <f>K105/J105</f>
        <v>0.15</v>
      </c>
      <c r="M105" s="39" t="str">
        <f t="shared" si="11"/>
        <v>1,5</v>
      </c>
      <c r="N105" s="35" t="str">
        <f t="shared" si="12"/>
        <v>Sangat Baik</v>
      </c>
      <c r="O105" s="35" t="str">
        <f t="shared" si="13"/>
        <v>Terlampir Pada LHE ZI</v>
      </c>
    </row>
    <row r="106" spans="1:15" x14ac:dyDescent="0.25">
      <c r="A106" s="35"/>
      <c r="B106" s="35" t="s">
        <v>389</v>
      </c>
      <c r="C106" s="35" t="s">
        <v>307</v>
      </c>
      <c r="D106" s="36">
        <v>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7">
        <f t="shared" si="9"/>
        <v>0</v>
      </c>
      <c r="K106" s="37">
        <f t="shared" si="10"/>
        <v>0</v>
      </c>
      <c r="L106" s="38" t="e">
        <v>#DIV/0!</v>
      </c>
      <c r="M106" s="39">
        <v>0</v>
      </c>
      <c r="N106" s="35" t="str">
        <f t="shared" si="12"/>
        <v>Kurang</v>
      </c>
      <c r="O106" s="35" t="str">
        <f t="shared" si="13"/>
        <v>Isi Rekomendasi</v>
      </c>
    </row>
    <row r="107" spans="1:15" x14ac:dyDescent="0.25">
      <c r="A107" s="35"/>
      <c r="B107" s="35" t="s">
        <v>70</v>
      </c>
      <c r="C107" s="35" t="s">
        <v>307</v>
      </c>
      <c r="D107" s="36">
        <v>3</v>
      </c>
      <c r="E107" s="36">
        <v>0</v>
      </c>
      <c r="F107" s="36">
        <v>9</v>
      </c>
      <c r="G107" s="36">
        <v>0</v>
      </c>
      <c r="H107" s="36">
        <v>3</v>
      </c>
      <c r="I107" s="36">
        <v>1</v>
      </c>
      <c r="J107" s="37">
        <f t="shared" si="9"/>
        <v>15</v>
      </c>
      <c r="K107" s="37">
        <f t="shared" si="10"/>
        <v>1</v>
      </c>
      <c r="L107" s="38">
        <f>K107/J107</f>
        <v>6.6666666666666666E-2</v>
      </c>
      <c r="M107" s="39" t="str">
        <f t="shared" si="11"/>
        <v>0,75</v>
      </c>
      <c r="N107" s="35" t="str">
        <f t="shared" si="12"/>
        <v>Baik</v>
      </c>
      <c r="O107" s="35" t="str">
        <f t="shared" si="13"/>
        <v>Terlampir Pada LHE ZI</v>
      </c>
    </row>
    <row r="108" spans="1:15" x14ac:dyDescent="0.25">
      <c r="A108" s="35"/>
      <c r="B108" s="35" t="s">
        <v>366</v>
      </c>
      <c r="C108" s="35" t="s">
        <v>307</v>
      </c>
      <c r="D108" s="36">
        <v>0</v>
      </c>
      <c r="E108" s="36">
        <v>0</v>
      </c>
      <c r="F108" s="36">
        <v>3</v>
      </c>
      <c r="G108" s="36">
        <v>0</v>
      </c>
      <c r="H108" s="36">
        <v>0</v>
      </c>
      <c r="I108" s="36">
        <v>0</v>
      </c>
      <c r="J108" s="37">
        <f t="shared" si="9"/>
        <v>3</v>
      </c>
      <c r="K108" s="37">
        <f t="shared" si="10"/>
        <v>0</v>
      </c>
      <c r="L108" s="38">
        <f>K108/J108</f>
        <v>0</v>
      </c>
      <c r="M108" s="39" t="str">
        <f t="shared" si="11"/>
        <v>0,5</v>
      </c>
      <c r="N108" s="35" t="str">
        <f t="shared" si="12"/>
        <v>Cukup</v>
      </c>
      <c r="O108" s="35" t="str">
        <f t="shared" si="13"/>
        <v>Terlampir Pada LHE ZI</v>
      </c>
    </row>
    <row r="109" spans="1:15" x14ac:dyDescent="0.25">
      <c r="A109" s="35"/>
      <c r="B109" s="35" t="s">
        <v>433</v>
      </c>
      <c r="C109" s="35" t="s">
        <v>307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7">
        <f t="shared" si="9"/>
        <v>0</v>
      </c>
      <c r="K109" s="37">
        <f t="shared" si="10"/>
        <v>0</v>
      </c>
      <c r="L109" s="38" t="e">
        <v>#DIV/0!</v>
      </c>
      <c r="M109" s="39">
        <v>0</v>
      </c>
      <c r="N109" s="35" t="str">
        <f t="shared" si="12"/>
        <v>Kurang</v>
      </c>
      <c r="O109" s="35" t="str">
        <f t="shared" si="13"/>
        <v>Isi Rekomendasi</v>
      </c>
    </row>
    <row r="110" spans="1:15" x14ac:dyDescent="0.25">
      <c r="A110" s="35"/>
      <c r="B110" s="35" t="s">
        <v>71</v>
      </c>
      <c r="C110" s="35" t="s">
        <v>307</v>
      </c>
      <c r="D110" s="36">
        <v>1</v>
      </c>
      <c r="E110" s="36">
        <v>0</v>
      </c>
      <c r="F110" s="36">
        <v>3</v>
      </c>
      <c r="G110" s="36">
        <v>0</v>
      </c>
      <c r="H110" s="36">
        <v>2</v>
      </c>
      <c r="I110" s="36">
        <v>0</v>
      </c>
      <c r="J110" s="37">
        <f t="shared" si="9"/>
        <v>6</v>
      </c>
      <c r="K110" s="37">
        <f t="shared" si="10"/>
        <v>0</v>
      </c>
      <c r="L110" s="38">
        <f>K110/J110</f>
        <v>0</v>
      </c>
      <c r="M110" s="39" t="str">
        <f t="shared" si="11"/>
        <v>0,5</v>
      </c>
      <c r="N110" s="35" t="str">
        <f t="shared" si="12"/>
        <v>Cukup</v>
      </c>
      <c r="O110" s="35" t="str">
        <f t="shared" si="13"/>
        <v>Terlampir Pada LHE ZI</v>
      </c>
    </row>
    <row r="111" spans="1:15" x14ac:dyDescent="0.25">
      <c r="A111" s="35"/>
      <c r="B111" s="35" t="s">
        <v>72</v>
      </c>
      <c r="C111" s="35" t="s">
        <v>307</v>
      </c>
      <c r="D111" s="36">
        <v>0</v>
      </c>
      <c r="E111" s="36">
        <v>0</v>
      </c>
      <c r="F111" s="36">
        <v>3</v>
      </c>
      <c r="G111" s="36">
        <v>0</v>
      </c>
      <c r="H111" s="36">
        <v>5</v>
      </c>
      <c r="I111" s="36">
        <v>1</v>
      </c>
      <c r="J111" s="37">
        <f t="shared" si="9"/>
        <v>8</v>
      </c>
      <c r="K111" s="37">
        <f t="shared" si="10"/>
        <v>1</v>
      </c>
      <c r="L111" s="38">
        <f>K111/J111</f>
        <v>0.125</v>
      </c>
      <c r="M111" s="39" t="str">
        <f t="shared" si="11"/>
        <v>1,5</v>
      </c>
      <c r="N111" s="35" t="str">
        <f t="shared" si="12"/>
        <v>Sangat Baik</v>
      </c>
      <c r="O111" s="35" t="str">
        <f t="shared" si="13"/>
        <v>Terlampir Pada LHE ZI</v>
      </c>
    </row>
    <row r="112" spans="1:15" x14ac:dyDescent="0.25">
      <c r="A112" s="35"/>
      <c r="B112" s="35" t="s">
        <v>73</v>
      </c>
      <c r="C112" s="35" t="s">
        <v>307</v>
      </c>
      <c r="D112" s="36">
        <v>0</v>
      </c>
      <c r="E112" s="36">
        <v>0</v>
      </c>
      <c r="F112" s="36">
        <v>0</v>
      </c>
      <c r="G112" s="36">
        <v>0</v>
      </c>
      <c r="H112" s="36">
        <v>3</v>
      </c>
      <c r="I112" s="36">
        <v>1</v>
      </c>
      <c r="J112" s="37">
        <f t="shared" si="9"/>
        <v>3</v>
      </c>
      <c r="K112" s="37">
        <f t="shared" si="10"/>
        <v>1</v>
      </c>
      <c r="L112" s="38">
        <f>K112/J112</f>
        <v>0.33333333333333331</v>
      </c>
      <c r="M112" s="39" t="str">
        <f t="shared" si="11"/>
        <v>1,5</v>
      </c>
      <c r="N112" s="35" t="str">
        <f t="shared" si="12"/>
        <v>Sangat Baik</v>
      </c>
      <c r="O112" s="35" t="str">
        <f t="shared" si="13"/>
        <v>Terlampir Pada LHE ZI</v>
      </c>
    </row>
    <row r="113" spans="1:15" x14ac:dyDescent="0.25">
      <c r="A113" s="35"/>
      <c r="B113" s="35" t="s">
        <v>434</v>
      </c>
      <c r="C113" s="35" t="s">
        <v>307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7">
        <f t="shared" si="9"/>
        <v>0</v>
      </c>
      <c r="K113" s="37">
        <f t="shared" si="10"/>
        <v>0</v>
      </c>
      <c r="L113" s="38" t="e">
        <v>#DIV/0!</v>
      </c>
      <c r="M113" s="39">
        <v>0</v>
      </c>
      <c r="N113" s="35" t="str">
        <f t="shared" si="12"/>
        <v>Kurang</v>
      </c>
      <c r="O113" s="35" t="str">
        <f t="shared" si="13"/>
        <v>Isi Rekomendasi</v>
      </c>
    </row>
    <row r="114" spans="1:15" x14ac:dyDescent="0.25">
      <c r="A114" s="35"/>
      <c r="B114" s="35" t="s">
        <v>74</v>
      </c>
      <c r="C114" s="35" t="s">
        <v>307</v>
      </c>
      <c r="D114" s="36">
        <v>0</v>
      </c>
      <c r="E114" s="36">
        <v>0</v>
      </c>
      <c r="F114" s="36">
        <v>2</v>
      </c>
      <c r="G114" s="36">
        <v>0</v>
      </c>
      <c r="H114" s="36">
        <v>2</v>
      </c>
      <c r="I114" s="36">
        <v>0</v>
      </c>
      <c r="J114" s="37">
        <f t="shared" si="9"/>
        <v>4</v>
      </c>
      <c r="K114" s="37">
        <f t="shared" si="10"/>
        <v>0</v>
      </c>
      <c r="L114" s="38">
        <f>K114/J114</f>
        <v>0</v>
      </c>
      <c r="M114" s="39" t="str">
        <f t="shared" si="11"/>
        <v>0,5</v>
      </c>
      <c r="N114" s="35" t="str">
        <f t="shared" si="12"/>
        <v>Cukup</v>
      </c>
      <c r="O114" s="35" t="str">
        <f t="shared" si="13"/>
        <v>Terlampir Pada LHE ZI</v>
      </c>
    </row>
    <row r="115" spans="1:15" x14ac:dyDescent="0.25">
      <c r="A115" s="35"/>
      <c r="B115" s="35" t="s">
        <v>75</v>
      </c>
      <c r="C115" s="35" t="s">
        <v>307</v>
      </c>
      <c r="D115" s="36">
        <v>0</v>
      </c>
      <c r="E115" s="36">
        <v>0</v>
      </c>
      <c r="F115" s="36">
        <v>0</v>
      </c>
      <c r="G115" s="36">
        <v>0</v>
      </c>
      <c r="H115" s="36">
        <v>1</v>
      </c>
      <c r="I115" s="36">
        <v>0</v>
      </c>
      <c r="J115" s="37">
        <f t="shared" si="9"/>
        <v>1</v>
      </c>
      <c r="K115" s="37">
        <f t="shared" si="10"/>
        <v>0</v>
      </c>
      <c r="L115" s="38">
        <f>K115/J115</f>
        <v>0</v>
      </c>
      <c r="M115" s="39" t="str">
        <f t="shared" si="11"/>
        <v>0,5</v>
      </c>
      <c r="N115" s="35" t="str">
        <f t="shared" si="12"/>
        <v>Cukup</v>
      </c>
      <c r="O115" s="35" t="str">
        <f t="shared" si="13"/>
        <v>Terlampir Pada LHE ZI</v>
      </c>
    </row>
    <row r="116" spans="1:15" x14ac:dyDescent="0.25">
      <c r="A116" s="35"/>
      <c r="B116" s="35" t="s">
        <v>435</v>
      </c>
      <c r="C116" s="35" t="s">
        <v>307</v>
      </c>
      <c r="D116" s="36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7">
        <f t="shared" si="9"/>
        <v>0</v>
      </c>
      <c r="K116" s="37">
        <f t="shared" si="10"/>
        <v>0</v>
      </c>
      <c r="L116" s="38" t="e">
        <v>#DIV/0!</v>
      </c>
      <c r="M116" s="39">
        <v>0</v>
      </c>
      <c r="N116" s="35" t="str">
        <f t="shared" si="12"/>
        <v>Kurang</v>
      </c>
      <c r="O116" s="35" t="str">
        <f t="shared" si="13"/>
        <v>Isi Rekomendasi</v>
      </c>
    </row>
    <row r="117" spans="1:15" x14ac:dyDescent="0.25">
      <c r="A117" s="35"/>
      <c r="B117" s="35" t="s">
        <v>436</v>
      </c>
      <c r="C117" s="35" t="s">
        <v>307</v>
      </c>
      <c r="D117" s="36">
        <v>0</v>
      </c>
      <c r="E117" s="36">
        <v>0</v>
      </c>
      <c r="F117" s="36">
        <v>0</v>
      </c>
      <c r="G117" s="36">
        <v>0</v>
      </c>
      <c r="H117" s="36">
        <v>0</v>
      </c>
      <c r="I117" s="36">
        <v>0</v>
      </c>
      <c r="J117" s="37">
        <f t="shared" si="9"/>
        <v>0</v>
      </c>
      <c r="K117" s="37">
        <f t="shared" si="10"/>
        <v>0</v>
      </c>
      <c r="L117" s="38" t="e">
        <v>#DIV/0!</v>
      </c>
      <c r="M117" s="39">
        <v>0</v>
      </c>
      <c r="N117" s="35" t="str">
        <f t="shared" si="12"/>
        <v>Kurang</v>
      </c>
      <c r="O117" s="35" t="str">
        <f t="shared" si="13"/>
        <v>Isi Rekomendasi</v>
      </c>
    </row>
    <row r="118" spans="1:15" x14ac:dyDescent="0.25">
      <c r="A118" s="35"/>
      <c r="B118" s="35" t="s">
        <v>365</v>
      </c>
      <c r="C118" s="35" t="s">
        <v>307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7">
        <f t="shared" si="9"/>
        <v>0</v>
      </c>
      <c r="K118" s="37">
        <f t="shared" si="10"/>
        <v>0</v>
      </c>
      <c r="L118" s="38" t="e">
        <v>#DIV/0!</v>
      </c>
      <c r="M118" s="39">
        <v>0</v>
      </c>
      <c r="N118" s="35" t="str">
        <f t="shared" si="12"/>
        <v>Kurang</v>
      </c>
      <c r="O118" s="35" t="str">
        <f t="shared" si="13"/>
        <v>Isi Rekomendasi</v>
      </c>
    </row>
    <row r="119" spans="1:15" x14ac:dyDescent="0.25">
      <c r="A119" s="35"/>
      <c r="B119" s="35" t="s">
        <v>76</v>
      </c>
      <c r="C119" s="35" t="s">
        <v>307</v>
      </c>
      <c r="D119" s="36">
        <v>0</v>
      </c>
      <c r="E119" s="36">
        <v>0</v>
      </c>
      <c r="F119" s="36">
        <v>0</v>
      </c>
      <c r="G119" s="36">
        <v>0</v>
      </c>
      <c r="H119" s="36">
        <v>3</v>
      </c>
      <c r="I119" s="36">
        <v>0</v>
      </c>
      <c r="J119" s="37">
        <f t="shared" si="9"/>
        <v>3</v>
      </c>
      <c r="K119" s="37">
        <f t="shared" si="10"/>
        <v>0</v>
      </c>
      <c r="L119" s="38">
        <f>K119/J119</f>
        <v>0</v>
      </c>
      <c r="M119" s="39" t="str">
        <f t="shared" si="11"/>
        <v>0,5</v>
      </c>
      <c r="N119" s="35" t="str">
        <f t="shared" si="12"/>
        <v>Cukup</v>
      </c>
      <c r="O119" s="35" t="str">
        <f t="shared" si="13"/>
        <v>Terlampir Pada LHE ZI</v>
      </c>
    </row>
    <row r="120" spans="1:15" x14ac:dyDescent="0.25">
      <c r="A120" s="35"/>
      <c r="B120" s="35" t="s">
        <v>77</v>
      </c>
      <c r="C120" s="35" t="s">
        <v>307</v>
      </c>
      <c r="D120" s="36">
        <v>0</v>
      </c>
      <c r="E120" s="36">
        <v>0</v>
      </c>
      <c r="F120" s="36">
        <v>0</v>
      </c>
      <c r="G120" s="36">
        <v>0</v>
      </c>
      <c r="H120" s="36">
        <v>3</v>
      </c>
      <c r="I120" s="36">
        <v>0</v>
      </c>
      <c r="J120" s="37">
        <f t="shared" si="9"/>
        <v>3</v>
      </c>
      <c r="K120" s="37">
        <f t="shared" si="10"/>
        <v>0</v>
      </c>
      <c r="L120" s="38">
        <f>K120/J120</f>
        <v>0</v>
      </c>
      <c r="M120" s="39" t="str">
        <f t="shared" si="11"/>
        <v>0,5</v>
      </c>
      <c r="N120" s="35" t="str">
        <f t="shared" si="12"/>
        <v>Cukup</v>
      </c>
      <c r="O120" s="35" t="str">
        <f t="shared" si="13"/>
        <v>Terlampir Pada LHE ZI</v>
      </c>
    </row>
    <row r="121" spans="1:15" x14ac:dyDescent="0.25">
      <c r="A121" s="35"/>
      <c r="B121" s="35" t="s">
        <v>437</v>
      </c>
      <c r="C121" s="35" t="s">
        <v>307</v>
      </c>
      <c r="D121" s="36">
        <v>0</v>
      </c>
      <c r="E121" s="36">
        <v>0</v>
      </c>
      <c r="F121" s="36">
        <v>0</v>
      </c>
      <c r="G121" s="36">
        <v>0</v>
      </c>
      <c r="H121" s="36">
        <v>0</v>
      </c>
      <c r="I121" s="36">
        <v>0</v>
      </c>
      <c r="J121" s="37">
        <f t="shared" si="9"/>
        <v>0</v>
      </c>
      <c r="K121" s="37">
        <f t="shared" si="10"/>
        <v>0</v>
      </c>
      <c r="L121" s="38" t="e">
        <v>#DIV/0!</v>
      </c>
      <c r="M121" s="39">
        <v>0</v>
      </c>
      <c r="N121" s="35" t="str">
        <f t="shared" si="12"/>
        <v>Kurang</v>
      </c>
      <c r="O121" s="35" t="str">
        <f t="shared" si="13"/>
        <v>Isi Rekomendasi</v>
      </c>
    </row>
    <row r="122" spans="1:15" x14ac:dyDescent="0.25">
      <c r="A122" s="35"/>
      <c r="B122" s="35" t="s">
        <v>369</v>
      </c>
      <c r="C122" s="35" t="s">
        <v>307</v>
      </c>
      <c r="D122" s="36">
        <v>2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7">
        <f t="shared" si="9"/>
        <v>2</v>
      </c>
      <c r="K122" s="37">
        <f t="shared" si="10"/>
        <v>0</v>
      </c>
      <c r="L122" s="38">
        <f>K122/J122</f>
        <v>0</v>
      </c>
      <c r="M122" s="39" t="str">
        <f t="shared" si="11"/>
        <v>0,5</v>
      </c>
      <c r="N122" s="35" t="str">
        <f t="shared" si="12"/>
        <v>Cukup</v>
      </c>
      <c r="O122" s="35" t="str">
        <f t="shared" si="13"/>
        <v>Terlampir Pada LHE ZI</v>
      </c>
    </row>
    <row r="123" spans="1:15" x14ac:dyDescent="0.25">
      <c r="A123" s="35"/>
      <c r="B123" s="35" t="s">
        <v>438</v>
      </c>
      <c r="C123" s="35" t="s">
        <v>307</v>
      </c>
      <c r="D123" s="36">
        <v>0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7">
        <f t="shared" si="9"/>
        <v>0</v>
      </c>
      <c r="K123" s="37">
        <f t="shared" si="10"/>
        <v>0</v>
      </c>
      <c r="L123" s="38" t="e">
        <v>#DIV/0!</v>
      </c>
      <c r="M123" s="39">
        <v>0</v>
      </c>
      <c r="N123" s="35" t="str">
        <f t="shared" si="12"/>
        <v>Kurang</v>
      </c>
      <c r="O123" s="35" t="str">
        <f t="shared" si="13"/>
        <v>Isi Rekomendasi</v>
      </c>
    </row>
    <row r="124" spans="1:15" x14ac:dyDescent="0.25">
      <c r="A124" s="35"/>
      <c r="B124" s="35" t="s">
        <v>439</v>
      </c>
      <c r="C124" s="35" t="s">
        <v>307</v>
      </c>
      <c r="D124" s="36">
        <v>0</v>
      </c>
      <c r="E124" s="36">
        <v>0</v>
      </c>
      <c r="F124" s="36">
        <v>0</v>
      </c>
      <c r="G124" s="36">
        <v>0</v>
      </c>
      <c r="H124" s="36">
        <v>0</v>
      </c>
      <c r="I124" s="36">
        <v>0</v>
      </c>
      <c r="J124" s="37">
        <f t="shared" si="9"/>
        <v>0</v>
      </c>
      <c r="K124" s="37">
        <f t="shared" si="10"/>
        <v>0</v>
      </c>
      <c r="L124" s="38" t="e">
        <v>#DIV/0!</v>
      </c>
      <c r="M124" s="39">
        <v>0</v>
      </c>
      <c r="N124" s="35" t="str">
        <f t="shared" si="12"/>
        <v>Kurang</v>
      </c>
      <c r="O124" s="35" t="str">
        <f t="shared" si="13"/>
        <v>Isi Rekomendasi</v>
      </c>
    </row>
    <row r="125" spans="1:15" x14ac:dyDescent="0.25">
      <c r="A125" s="35"/>
      <c r="B125" s="35" t="s">
        <v>78</v>
      </c>
      <c r="C125" s="35" t="s">
        <v>307</v>
      </c>
      <c r="D125" s="36">
        <v>0</v>
      </c>
      <c r="E125" s="36">
        <v>0</v>
      </c>
      <c r="F125" s="36">
        <v>0</v>
      </c>
      <c r="G125" s="36">
        <v>0</v>
      </c>
      <c r="H125" s="36">
        <v>1</v>
      </c>
      <c r="I125" s="36">
        <v>0</v>
      </c>
      <c r="J125" s="37">
        <f t="shared" si="9"/>
        <v>1</v>
      </c>
      <c r="K125" s="37">
        <f t="shared" si="10"/>
        <v>0</v>
      </c>
      <c r="L125" s="38">
        <f>K125/J125</f>
        <v>0</v>
      </c>
      <c r="M125" s="39" t="str">
        <f t="shared" si="11"/>
        <v>0,5</v>
      </c>
      <c r="N125" s="35" t="str">
        <f t="shared" si="12"/>
        <v>Cukup</v>
      </c>
      <c r="O125" s="35" t="str">
        <f t="shared" si="13"/>
        <v>Terlampir Pada LHE ZI</v>
      </c>
    </row>
    <row r="126" spans="1:15" x14ac:dyDescent="0.25">
      <c r="A126" s="35"/>
      <c r="B126" s="35" t="s">
        <v>384</v>
      </c>
      <c r="C126" s="35" t="s">
        <v>307</v>
      </c>
      <c r="D126" s="36">
        <v>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7">
        <f t="shared" si="9"/>
        <v>0</v>
      </c>
      <c r="K126" s="37">
        <f t="shared" si="10"/>
        <v>0</v>
      </c>
      <c r="L126" s="38" t="e">
        <v>#DIV/0!</v>
      </c>
      <c r="M126" s="39">
        <v>0</v>
      </c>
      <c r="N126" s="35" t="str">
        <f t="shared" si="12"/>
        <v>Kurang</v>
      </c>
      <c r="O126" s="35" t="str">
        <f t="shared" si="13"/>
        <v>Isi Rekomendasi</v>
      </c>
    </row>
    <row r="127" spans="1:15" x14ac:dyDescent="0.25">
      <c r="A127" s="35"/>
      <c r="B127" s="35" t="s">
        <v>79</v>
      </c>
      <c r="C127" s="35" t="s">
        <v>307</v>
      </c>
      <c r="D127" s="36">
        <v>1</v>
      </c>
      <c r="E127" s="36">
        <v>0</v>
      </c>
      <c r="F127" s="36">
        <v>0</v>
      </c>
      <c r="G127" s="36">
        <v>0</v>
      </c>
      <c r="H127" s="36">
        <v>1</v>
      </c>
      <c r="I127" s="36">
        <v>0</v>
      </c>
      <c r="J127" s="37">
        <f t="shared" si="9"/>
        <v>2</v>
      </c>
      <c r="K127" s="37">
        <f t="shared" si="10"/>
        <v>0</v>
      </c>
      <c r="L127" s="38">
        <f>K127/J127</f>
        <v>0</v>
      </c>
      <c r="M127" s="39" t="str">
        <f t="shared" si="11"/>
        <v>0,5</v>
      </c>
      <c r="N127" s="35" t="str">
        <f t="shared" si="12"/>
        <v>Cukup</v>
      </c>
      <c r="O127" s="35" t="str">
        <f t="shared" si="13"/>
        <v>Terlampir Pada LHE ZI</v>
      </c>
    </row>
    <row r="128" spans="1:15" x14ac:dyDescent="0.25">
      <c r="A128" s="35"/>
      <c r="B128" s="35" t="s">
        <v>80</v>
      </c>
      <c r="C128" s="35" t="s">
        <v>307</v>
      </c>
      <c r="D128" s="36">
        <v>0</v>
      </c>
      <c r="E128" s="36">
        <v>0</v>
      </c>
      <c r="F128" s="36">
        <v>0</v>
      </c>
      <c r="G128" s="36">
        <v>0</v>
      </c>
      <c r="H128" s="36">
        <v>1</v>
      </c>
      <c r="I128" s="36">
        <v>1</v>
      </c>
      <c r="J128" s="37">
        <f t="shared" si="9"/>
        <v>1</v>
      </c>
      <c r="K128" s="37">
        <f t="shared" si="10"/>
        <v>1</v>
      </c>
      <c r="L128" s="38">
        <f>K128/J128</f>
        <v>1</v>
      </c>
      <c r="M128" s="39" t="str">
        <f t="shared" si="11"/>
        <v>3,5</v>
      </c>
      <c r="N128" s="35" t="str">
        <f t="shared" si="12"/>
        <v>Sangat Memuaskan</v>
      </c>
      <c r="O128" s="35" t="str">
        <f t="shared" si="13"/>
        <v>Terlampir Pada LHE ZI</v>
      </c>
    </row>
    <row r="129" spans="1:15" x14ac:dyDescent="0.25">
      <c r="A129" s="35"/>
      <c r="B129" s="35" t="s">
        <v>81</v>
      </c>
      <c r="C129" s="35" t="s">
        <v>307</v>
      </c>
      <c r="D129" s="36">
        <v>0</v>
      </c>
      <c r="E129" s="36">
        <v>0</v>
      </c>
      <c r="F129" s="36">
        <v>2</v>
      </c>
      <c r="G129" s="36">
        <v>0</v>
      </c>
      <c r="H129" s="36">
        <v>2</v>
      </c>
      <c r="I129" s="36">
        <v>0</v>
      </c>
      <c r="J129" s="37">
        <f t="shared" si="9"/>
        <v>4</v>
      </c>
      <c r="K129" s="37">
        <f t="shared" si="10"/>
        <v>0</v>
      </c>
      <c r="L129" s="38">
        <f>K129/J129</f>
        <v>0</v>
      </c>
      <c r="M129" s="39" t="str">
        <f t="shared" si="11"/>
        <v>0,5</v>
      </c>
      <c r="N129" s="35" t="str">
        <f t="shared" si="12"/>
        <v>Cukup</v>
      </c>
      <c r="O129" s="35" t="str">
        <f t="shared" si="13"/>
        <v>Terlampir Pada LHE ZI</v>
      </c>
    </row>
    <row r="130" spans="1:15" x14ac:dyDescent="0.25">
      <c r="A130" s="35"/>
      <c r="B130" s="35" t="s">
        <v>381</v>
      </c>
      <c r="C130" s="35" t="s">
        <v>307</v>
      </c>
      <c r="D130" s="36">
        <v>1</v>
      </c>
      <c r="E130" s="36">
        <v>0</v>
      </c>
      <c r="F130" s="36">
        <v>0</v>
      </c>
      <c r="G130" s="36">
        <v>0</v>
      </c>
      <c r="H130" s="36">
        <v>0</v>
      </c>
      <c r="I130" s="36">
        <v>0</v>
      </c>
      <c r="J130" s="37">
        <f t="shared" si="9"/>
        <v>1</v>
      </c>
      <c r="K130" s="37">
        <f t="shared" si="10"/>
        <v>0</v>
      </c>
      <c r="L130" s="38">
        <f>K130/J130</f>
        <v>0</v>
      </c>
      <c r="M130" s="39" t="str">
        <f t="shared" si="11"/>
        <v>0,5</v>
      </c>
      <c r="N130" s="35" t="str">
        <f t="shared" si="12"/>
        <v>Cukup</v>
      </c>
      <c r="O130" s="35" t="str">
        <f t="shared" si="13"/>
        <v>Terlampir Pada LHE ZI</v>
      </c>
    </row>
    <row r="131" spans="1:15" x14ac:dyDescent="0.25">
      <c r="A131" s="35"/>
      <c r="B131" s="35" t="s">
        <v>440</v>
      </c>
      <c r="C131" s="35" t="s">
        <v>307</v>
      </c>
      <c r="D131" s="36">
        <v>0</v>
      </c>
      <c r="E131" s="36">
        <v>0</v>
      </c>
      <c r="F131" s="36">
        <v>0</v>
      </c>
      <c r="G131" s="36">
        <v>0</v>
      </c>
      <c r="H131" s="36">
        <v>0</v>
      </c>
      <c r="I131" s="36">
        <v>0</v>
      </c>
      <c r="J131" s="37">
        <f t="shared" si="9"/>
        <v>0</v>
      </c>
      <c r="K131" s="37">
        <f t="shared" si="10"/>
        <v>0</v>
      </c>
      <c r="L131" s="38" t="e">
        <v>#DIV/0!</v>
      </c>
      <c r="M131" s="39">
        <v>0</v>
      </c>
      <c r="N131" s="35" t="str">
        <f t="shared" si="12"/>
        <v>Kurang</v>
      </c>
      <c r="O131" s="35" t="str">
        <f t="shared" si="13"/>
        <v>Isi Rekomendasi</v>
      </c>
    </row>
    <row r="132" spans="1:15" x14ac:dyDescent="0.25">
      <c r="A132" s="35"/>
      <c r="B132" s="35" t="s">
        <v>441</v>
      </c>
      <c r="C132" s="35" t="s">
        <v>307</v>
      </c>
      <c r="D132" s="36">
        <v>0</v>
      </c>
      <c r="E132" s="36">
        <v>0</v>
      </c>
      <c r="F132" s="36">
        <v>0</v>
      </c>
      <c r="G132" s="36">
        <v>0</v>
      </c>
      <c r="H132" s="36">
        <v>0</v>
      </c>
      <c r="I132" s="36">
        <v>0</v>
      </c>
      <c r="J132" s="37">
        <f t="shared" ref="J132:J195" si="15">D132+F132+H132</f>
        <v>0</v>
      </c>
      <c r="K132" s="37">
        <f t="shared" ref="K132:K195" si="16">E132+G132+I132</f>
        <v>0</v>
      </c>
      <c r="L132" s="38" t="e">
        <v>#DIV/0!</v>
      </c>
      <c r="M132" s="39">
        <v>0</v>
      </c>
      <c r="N132" s="35" t="str">
        <f t="shared" ref="N132:N195" si="17">_xlfn.IFS(AND(C132="KL",M132="3"),"Sangat Memuaskan",AND(C132="Pemda",M132="3,5"),"Sangat Memuaskan",AND(C132="KL",M132="2"),"Memuaskan",AND(C132="Pemda",M132="2,5"),"Memuaskan",AND(C132="KL",M132="1"),"Sangat Baik",AND(C132="Pemda",M132="1,5"),"Sangat Baik",AND(C132="KL",M132="0,75"),"Baik",AND(C132="Pemda",M132="0,75"),"Baik",AND(C132="KL",M132="0,5"),"Cukup",AND(C132="Pemda",M132="0,5"),"Cukup",AND(C132="KL",M132&lt;0.5),"Kurang",AND(C132="Pemda",M132&lt;0.5),"Kurang")</f>
        <v>Kurang</v>
      </c>
      <c r="O132" s="35" t="str">
        <f t="shared" ref="O132:O195" si="18">IF(N132="Kurang","Isi Rekomendasi","Terlampir Pada LHE ZI")</f>
        <v>Isi Rekomendasi</v>
      </c>
    </row>
    <row r="133" spans="1:15" x14ac:dyDescent="0.25">
      <c r="A133" s="35"/>
      <c r="B133" s="35" t="s">
        <v>388</v>
      </c>
      <c r="C133" s="35" t="s">
        <v>307</v>
      </c>
      <c r="D133" s="36">
        <v>2</v>
      </c>
      <c r="E133" s="36">
        <v>0</v>
      </c>
      <c r="F133" s="36">
        <v>0</v>
      </c>
      <c r="G133" s="36">
        <v>0</v>
      </c>
      <c r="H133" s="36">
        <v>0</v>
      </c>
      <c r="I133" s="36">
        <v>0</v>
      </c>
      <c r="J133" s="37">
        <f t="shared" si="15"/>
        <v>2</v>
      </c>
      <c r="K133" s="37">
        <f t="shared" si="16"/>
        <v>0</v>
      </c>
      <c r="L133" s="38">
        <f>K133/J133</f>
        <v>0</v>
      </c>
      <c r="M133" s="39" t="str">
        <f t="shared" ref="M133:M195" si="19">IF(AND(C133="KL",L133&gt;75%),"3",IF(AND(C133="KL",L133&gt;40%),"2",IF(AND(C133="KL",L133&gt;10%),"1",IF(AND(C133="KL",L133&gt;0.1%),"0,75",IF(AND(C133="KL",L133&gt;=0%),"0,5",IF(AND(C133="Pemda",L133&gt;75%),"3,5",IF(AND(C133="Pemda",L133&gt;40%),"2,5",IF(AND(C133="Pemda",L133&gt;10%),"1,5",IF(AND(C133="Pemda",L133&gt;0.1%),"0,75",IF(AND(C133="Pemda",L133&gt;=0%),"0,5","0"))))))))))</f>
        <v>0,5</v>
      </c>
      <c r="N133" s="35" t="str">
        <f t="shared" si="17"/>
        <v>Cukup</v>
      </c>
      <c r="O133" s="35" t="str">
        <f t="shared" si="18"/>
        <v>Terlampir Pada LHE ZI</v>
      </c>
    </row>
    <row r="134" spans="1:15" x14ac:dyDescent="0.25">
      <c r="A134" s="35"/>
      <c r="B134" s="35" t="s">
        <v>374</v>
      </c>
      <c r="C134" s="35" t="s">
        <v>307</v>
      </c>
      <c r="D134" s="36">
        <v>0</v>
      </c>
      <c r="E134" s="36">
        <v>0</v>
      </c>
      <c r="F134" s="36">
        <v>0</v>
      </c>
      <c r="G134" s="36">
        <v>0</v>
      </c>
      <c r="H134" s="36">
        <v>0</v>
      </c>
      <c r="I134" s="36">
        <v>0</v>
      </c>
      <c r="J134" s="37">
        <f t="shared" si="15"/>
        <v>0</v>
      </c>
      <c r="K134" s="37">
        <f t="shared" si="16"/>
        <v>0</v>
      </c>
      <c r="L134" s="38" t="e">
        <v>#DIV/0!</v>
      </c>
      <c r="M134" s="39">
        <v>0</v>
      </c>
      <c r="N134" s="35" t="str">
        <f t="shared" si="17"/>
        <v>Kurang</v>
      </c>
      <c r="O134" s="35" t="str">
        <f t="shared" si="18"/>
        <v>Isi Rekomendasi</v>
      </c>
    </row>
    <row r="135" spans="1:15" x14ac:dyDescent="0.25">
      <c r="A135" s="35"/>
      <c r="B135" s="35" t="s">
        <v>82</v>
      </c>
      <c r="C135" s="35" t="s">
        <v>307</v>
      </c>
      <c r="D135" s="36">
        <v>0</v>
      </c>
      <c r="E135" s="36">
        <v>0</v>
      </c>
      <c r="F135" s="36">
        <v>0</v>
      </c>
      <c r="G135" s="36">
        <v>0</v>
      </c>
      <c r="H135" s="36">
        <v>1</v>
      </c>
      <c r="I135" s="36">
        <v>1</v>
      </c>
      <c r="J135" s="37">
        <f t="shared" si="15"/>
        <v>1</v>
      </c>
      <c r="K135" s="37">
        <f t="shared" si="16"/>
        <v>1</v>
      </c>
      <c r="L135" s="38">
        <f t="shared" ref="L135:L142" si="20">K135/J135</f>
        <v>1</v>
      </c>
      <c r="M135" s="39" t="str">
        <f t="shared" si="19"/>
        <v>3,5</v>
      </c>
      <c r="N135" s="35" t="str">
        <f t="shared" si="17"/>
        <v>Sangat Memuaskan</v>
      </c>
      <c r="O135" s="35" t="str">
        <f t="shared" si="18"/>
        <v>Terlampir Pada LHE ZI</v>
      </c>
    </row>
    <row r="136" spans="1:15" x14ac:dyDescent="0.25">
      <c r="A136" s="35"/>
      <c r="B136" s="35" t="s">
        <v>83</v>
      </c>
      <c r="C136" s="35" t="s">
        <v>307</v>
      </c>
      <c r="D136" s="36">
        <v>3</v>
      </c>
      <c r="E136" s="36">
        <v>1</v>
      </c>
      <c r="F136" s="36">
        <v>2</v>
      </c>
      <c r="G136" s="36">
        <v>1</v>
      </c>
      <c r="H136" s="36">
        <v>12</v>
      </c>
      <c r="I136" s="36">
        <v>0</v>
      </c>
      <c r="J136" s="37">
        <f t="shared" si="15"/>
        <v>17</v>
      </c>
      <c r="K136" s="37">
        <f t="shared" si="16"/>
        <v>2</v>
      </c>
      <c r="L136" s="38">
        <f t="shared" si="20"/>
        <v>0.11764705882352941</v>
      </c>
      <c r="M136" s="39" t="str">
        <f t="shared" si="19"/>
        <v>1,5</v>
      </c>
      <c r="N136" s="35" t="str">
        <f t="shared" si="17"/>
        <v>Sangat Baik</v>
      </c>
      <c r="O136" s="35" t="str">
        <f t="shared" si="18"/>
        <v>Terlampir Pada LHE ZI</v>
      </c>
    </row>
    <row r="137" spans="1:15" x14ac:dyDescent="0.25">
      <c r="A137" s="35"/>
      <c r="B137" s="35" t="s">
        <v>84</v>
      </c>
      <c r="C137" s="35" t="s">
        <v>307</v>
      </c>
      <c r="D137" s="36">
        <v>2</v>
      </c>
      <c r="E137" s="36">
        <v>0</v>
      </c>
      <c r="F137" s="36">
        <v>2</v>
      </c>
      <c r="G137" s="36">
        <v>0</v>
      </c>
      <c r="H137" s="36">
        <v>5</v>
      </c>
      <c r="I137" s="36">
        <v>1</v>
      </c>
      <c r="J137" s="37">
        <f t="shared" si="15"/>
        <v>9</v>
      </c>
      <c r="K137" s="37">
        <f t="shared" si="16"/>
        <v>1</v>
      </c>
      <c r="L137" s="38">
        <f t="shared" si="20"/>
        <v>0.1111111111111111</v>
      </c>
      <c r="M137" s="39" t="str">
        <f t="shared" si="19"/>
        <v>1,5</v>
      </c>
      <c r="N137" s="35" t="str">
        <f t="shared" si="17"/>
        <v>Sangat Baik</v>
      </c>
      <c r="O137" s="35" t="str">
        <f t="shared" si="18"/>
        <v>Terlampir Pada LHE ZI</v>
      </c>
    </row>
    <row r="138" spans="1:15" x14ac:dyDescent="0.25">
      <c r="A138" s="35"/>
      <c r="B138" s="35" t="s">
        <v>85</v>
      </c>
      <c r="C138" s="35" t="s">
        <v>307</v>
      </c>
      <c r="D138" s="36">
        <v>0</v>
      </c>
      <c r="E138" s="36">
        <v>0</v>
      </c>
      <c r="F138" s="36">
        <v>0</v>
      </c>
      <c r="G138" s="36">
        <v>0</v>
      </c>
      <c r="H138" s="36">
        <v>4</v>
      </c>
      <c r="I138" s="36">
        <v>0</v>
      </c>
      <c r="J138" s="37">
        <f t="shared" si="15"/>
        <v>4</v>
      </c>
      <c r="K138" s="37">
        <f t="shared" si="16"/>
        <v>0</v>
      </c>
      <c r="L138" s="38">
        <f t="shared" si="20"/>
        <v>0</v>
      </c>
      <c r="M138" s="39" t="str">
        <f t="shared" si="19"/>
        <v>0,5</v>
      </c>
      <c r="N138" s="35" t="str">
        <f t="shared" si="17"/>
        <v>Cukup</v>
      </c>
      <c r="O138" s="35" t="str">
        <f t="shared" si="18"/>
        <v>Terlampir Pada LHE ZI</v>
      </c>
    </row>
    <row r="139" spans="1:15" x14ac:dyDescent="0.25">
      <c r="A139" s="35"/>
      <c r="B139" s="35" t="s">
        <v>86</v>
      </c>
      <c r="C139" s="35" t="s">
        <v>307</v>
      </c>
      <c r="D139" s="36">
        <v>0</v>
      </c>
      <c r="E139" s="36">
        <v>0</v>
      </c>
      <c r="F139" s="36">
        <v>0</v>
      </c>
      <c r="G139" s="36">
        <v>0</v>
      </c>
      <c r="H139" s="36">
        <v>3</v>
      </c>
      <c r="I139" s="36">
        <v>0</v>
      </c>
      <c r="J139" s="37">
        <f t="shared" si="15"/>
        <v>3</v>
      </c>
      <c r="K139" s="37">
        <f t="shared" si="16"/>
        <v>0</v>
      </c>
      <c r="L139" s="38">
        <f t="shared" si="20"/>
        <v>0</v>
      </c>
      <c r="M139" s="39" t="str">
        <f t="shared" si="19"/>
        <v>0,5</v>
      </c>
      <c r="N139" s="35" t="str">
        <f t="shared" si="17"/>
        <v>Cukup</v>
      </c>
      <c r="O139" s="35" t="str">
        <f t="shared" si="18"/>
        <v>Terlampir Pada LHE ZI</v>
      </c>
    </row>
    <row r="140" spans="1:15" x14ac:dyDescent="0.25">
      <c r="A140" s="35"/>
      <c r="B140" s="35" t="s">
        <v>87</v>
      </c>
      <c r="C140" s="35" t="s">
        <v>307</v>
      </c>
      <c r="D140" s="36">
        <v>0</v>
      </c>
      <c r="E140" s="36">
        <v>0</v>
      </c>
      <c r="F140" s="36">
        <v>5</v>
      </c>
      <c r="G140" s="36">
        <v>0</v>
      </c>
      <c r="H140" s="36">
        <v>1</v>
      </c>
      <c r="I140" s="36">
        <v>0</v>
      </c>
      <c r="J140" s="37">
        <f t="shared" si="15"/>
        <v>6</v>
      </c>
      <c r="K140" s="37">
        <f t="shared" si="16"/>
        <v>0</v>
      </c>
      <c r="L140" s="38">
        <f t="shared" si="20"/>
        <v>0</v>
      </c>
      <c r="M140" s="39" t="str">
        <f t="shared" si="19"/>
        <v>0,5</v>
      </c>
      <c r="N140" s="35" t="str">
        <f t="shared" si="17"/>
        <v>Cukup</v>
      </c>
      <c r="O140" s="35" t="str">
        <f t="shared" si="18"/>
        <v>Terlampir Pada LHE ZI</v>
      </c>
    </row>
    <row r="141" spans="1:15" x14ac:dyDescent="0.25">
      <c r="A141" s="35"/>
      <c r="B141" s="35" t="s">
        <v>88</v>
      </c>
      <c r="C141" s="35" t="s">
        <v>307</v>
      </c>
      <c r="D141" s="36">
        <v>0</v>
      </c>
      <c r="E141" s="36">
        <v>0</v>
      </c>
      <c r="F141" s="36">
        <v>0</v>
      </c>
      <c r="G141" s="36">
        <v>0</v>
      </c>
      <c r="H141" s="36">
        <v>3</v>
      </c>
      <c r="I141" s="36">
        <v>0</v>
      </c>
      <c r="J141" s="37">
        <f t="shared" si="15"/>
        <v>3</v>
      </c>
      <c r="K141" s="37">
        <f t="shared" si="16"/>
        <v>0</v>
      </c>
      <c r="L141" s="38">
        <f t="shared" si="20"/>
        <v>0</v>
      </c>
      <c r="M141" s="39" t="str">
        <f t="shared" si="19"/>
        <v>0,5</v>
      </c>
      <c r="N141" s="35" t="str">
        <f t="shared" si="17"/>
        <v>Cukup</v>
      </c>
      <c r="O141" s="35" t="str">
        <f t="shared" si="18"/>
        <v>Terlampir Pada LHE ZI</v>
      </c>
    </row>
    <row r="142" spans="1:15" x14ac:dyDescent="0.25">
      <c r="A142" s="35"/>
      <c r="B142" s="35" t="s">
        <v>89</v>
      </c>
      <c r="C142" s="35" t="s">
        <v>307</v>
      </c>
      <c r="D142" s="36">
        <v>3</v>
      </c>
      <c r="E142" s="36">
        <v>0</v>
      </c>
      <c r="F142" s="36">
        <v>7</v>
      </c>
      <c r="G142" s="36">
        <v>0</v>
      </c>
      <c r="H142" s="36">
        <v>7</v>
      </c>
      <c r="I142" s="36">
        <v>1</v>
      </c>
      <c r="J142" s="37">
        <f t="shared" si="15"/>
        <v>17</v>
      </c>
      <c r="K142" s="37">
        <f t="shared" si="16"/>
        <v>1</v>
      </c>
      <c r="L142" s="38">
        <f t="shared" si="20"/>
        <v>5.8823529411764705E-2</v>
      </c>
      <c r="M142" s="39" t="str">
        <f t="shared" si="19"/>
        <v>0,75</v>
      </c>
      <c r="N142" s="35" t="str">
        <f t="shared" si="17"/>
        <v>Baik</v>
      </c>
      <c r="O142" s="35" t="str">
        <f t="shared" si="18"/>
        <v>Terlampir Pada LHE ZI</v>
      </c>
    </row>
    <row r="143" spans="1:15" x14ac:dyDescent="0.25">
      <c r="A143" s="35"/>
      <c r="B143" s="35" t="s">
        <v>442</v>
      </c>
      <c r="C143" s="35" t="s">
        <v>307</v>
      </c>
      <c r="D143" s="36">
        <v>0</v>
      </c>
      <c r="E143" s="36">
        <v>0</v>
      </c>
      <c r="F143" s="36">
        <v>0</v>
      </c>
      <c r="G143" s="36">
        <v>0</v>
      </c>
      <c r="H143" s="36">
        <v>0</v>
      </c>
      <c r="I143" s="36">
        <v>0</v>
      </c>
      <c r="J143" s="37">
        <f t="shared" si="15"/>
        <v>0</v>
      </c>
      <c r="K143" s="37">
        <f t="shared" si="16"/>
        <v>0</v>
      </c>
      <c r="L143" s="38" t="e">
        <v>#DIV/0!</v>
      </c>
      <c r="M143" s="39">
        <v>0</v>
      </c>
      <c r="N143" s="35" t="str">
        <f t="shared" si="17"/>
        <v>Kurang</v>
      </c>
      <c r="O143" s="35" t="str">
        <f t="shared" si="18"/>
        <v>Isi Rekomendasi</v>
      </c>
    </row>
    <row r="144" spans="1:15" x14ac:dyDescent="0.25">
      <c r="A144" s="35"/>
      <c r="B144" s="35" t="s">
        <v>90</v>
      </c>
      <c r="C144" s="35" t="s">
        <v>307</v>
      </c>
      <c r="D144" s="36">
        <v>0</v>
      </c>
      <c r="E144" s="36">
        <v>0</v>
      </c>
      <c r="F144" s="36">
        <v>2</v>
      </c>
      <c r="G144" s="36">
        <v>0</v>
      </c>
      <c r="H144" s="36">
        <v>3</v>
      </c>
      <c r="I144" s="36">
        <v>0</v>
      </c>
      <c r="J144" s="37">
        <f t="shared" si="15"/>
        <v>5</v>
      </c>
      <c r="K144" s="37">
        <f t="shared" si="16"/>
        <v>0</v>
      </c>
      <c r="L144" s="38">
        <f>K144/J144</f>
        <v>0</v>
      </c>
      <c r="M144" s="39" t="str">
        <f t="shared" si="19"/>
        <v>0,5</v>
      </c>
      <c r="N144" s="35" t="str">
        <f t="shared" si="17"/>
        <v>Cukup</v>
      </c>
      <c r="O144" s="35" t="str">
        <f t="shared" si="18"/>
        <v>Terlampir Pada LHE ZI</v>
      </c>
    </row>
    <row r="145" spans="1:15" x14ac:dyDescent="0.25">
      <c r="A145" s="35"/>
      <c r="B145" s="35" t="s">
        <v>443</v>
      </c>
      <c r="C145" s="35" t="s">
        <v>307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7">
        <f t="shared" si="15"/>
        <v>0</v>
      </c>
      <c r="K145" s="37">
        <f t="shared" si="16"/>
        <v>0</v>
      </c>
      <c r="L145" s="38" t="e">
        <v>#DIV/0!</v>
      </c>
      <c r="M145" s="39">
        <v>0</v>
      </c>
      <c r="N145" s="35" t="str">
        <f t="shared" si="17"/>
        <v>Kurang</v>
      </c>
      <c r="O145" s="35" t="str">
        <f t="shared" si="18"/>
        <v>Isi Rekomendasi</v>
      </c>
    </row>
    <row r="146" spans="1:15" x14ac:dyDescent="0.25">
      <c r="A146" s="35"/>
      <c r="B146" s="35" t="s">
        <v>91</v>
      </c>
      <c r="C146" s="35" t="s">
        <v>307</v>
      </c>
      <c r="D146" s="36">
        <v>0</v>
      </c>
      <c r="E146" s="36">
        <v>0</v>
      </c>
      <c r="F146" s="36">
        <v>2</v>
      </c>
      <c r="G146" s="36">
        <v>0</v>
      </c>
      <c r="H146" s="36">
        <v>3</v>
      </c>
      <c r="I146" s="36">
        <v>1</v>
      </c>
      <c r="J146" s="37">
        <f t="shared" si="15"/>
        <v>5</v>
      </c>
      <c r="K146" s="37">
        <f t="shared" si="16"/>
        <v>1</v>
      </c>
      <c r="L146" s="38">
        <f>K146/J146</f>
        <v>0.2</v>
      </c>
      <c r="M146" s="39" t="str">
        <f t="shared" si="19"/>
        <v>1,5</v>
      </c>
      <c r="N146" s="35" t="str">
        <f t="shared" si="17"/>
        <v>Sangat Baik</v>
      </c>
      <c r="O146" s="35" t="str">
        <f t="shared" si="18"/>
        <v>Terlampir Pada LHE ZI</v>
      </c>
    </row>
    <row r="147" spans="1:15" x14ac:dyDescent="0.25">
      <c r="A147" s="35"/>
      <c r="B147" s="35" t="s">
        <v>92</v>
      </c>
      <c r="C147" s="35" t="s">
        <v>307</v>
      </c>
      <c r="D147" s="36">
        <v>1</v>
      </c>
      <c r="E147" s="36">
        <v>0</v>
      </c>
      <c r="F147" s="36">
        <v>2</v>
      </c>
      <c r="G147" s="36">
        <v>0</v>
      </c>
      <c r="H147" s="36">
        <v>2</v>
      </c>
      <c r="I147" s="36">
        <v>0</v>
      </c>
      <c r="J147" s="37">
        <f t="shared" si="15"/>
        <v>5</v>
      </c>
      <c r="K147" s="37">
        <f t="shared" si="16"/>
        <v>0</v>
      </c>
      <c r="L147" s="38">
        <f>K147/J147</f>
        <v>0</v>
      </c>
      <c r="M147" s="39" t="str">
        <f t="shared" si="19"/>
        <v>0,5</v>
      </c>
      <c r="N147" s="35" t="str">
        <f t="shared" si="17"/>
        <v>Cukup</v>
      </c>
      <c r="O147" s="35" t="str">
        <f t="shared" si="18"/>
        <v>Terlampir Pada LHE ZI</v>
      </c>
    </row>
    <row r="148" spans="1:15" x14ac:dyDescent="0.25">
      <c r="A148" s="35"/>
      <c r="B148" s="35" t="s">
        <v>444</v>
      </c>
      <c r="C148" s="35" t="s">
        <v>307</v>
      </c>
      <c r="D148" s="36">
        <v>0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7">
        <f t="shared" si="15"/>
        <v>0</v>
      </c>
      <c r="K148" s="37">
        <f t="shared" si="16"/>
        <v>0</v>
      </c>
      <c r="L148" s="38" t="e">
        <v>#DIV/0!</v>
      </c>
      <c r="M148" s="39">
        <v>0</v>
      </c>
      <c r="N148" s="35" t="str">
        <f t="shared" si="17"/>
        <v>Kurang</v>
      </c>
      <c r="O148" s="35" t="str">
        <f t="shared" si="18"/>
        <v>Isi Rekomendasi</v>
      </c>
    </row>
    <row r="149" spans="1:15" x14ac:dyDescent="0.25">
      <c r="A149" s="35"/>
      <c r="B149" s="35" t="s">
        <v>445</v>
      </c>
      <c r="C149" s="35" t="s">
        <v>307</v>
      </c>
      <c r="D149" s="36">
        <v>0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7">
        <f t="shared" si="15"/>
        <v>0</v>
      </c>
      <c r="K149" s="37">
        <f t="shared" si="16"/>
        <v>0</v>
      </c>
      <c r="L149" s="38" t="e">
        <v>#DIV/0!</v>
      </c>
      <c r="M149" s="39">
        <v>0</v>
      </c>
      <c r="N149" s="35" t="str">
        <f t="shared" si="17"/>
        <v>Kurang</v>
      </c>
      <c r="O149" s="35" t="str">
        <f t="shared" si="18"/>
        <v>Isi Rekomendasi</v>
      </c>
    </row>
    <row r="150" spans="1:15" x14ac:dyDescent="0.25">
      <c r="A150" s="35"/>
      <c r="B150" s="35" t="s">
        <v>446</v>
      </c>
      <c r="C150" s="35" t="s">
        <v>307</v>
      </c>
      <c r="D150" s="36">
        <v>0</v>
      </c>
      <c r="E150" s="36">
        <v>0</v>
      </c>
      <c r="F150" s="36">
        <v>0</v>
      </c>
      <c r="G150" s="36">
        <v>0</v>
      </c>
      <c r="H150" s="36">
        <v>0</v>
      </c>
      <c r="I150" s="36">
        <v>0</v>
      </c>
      <c r="J150" s="37">
        <f t="shared" si="15"/>
        <v>0</v>
      </c>
      <c r="K150" s="37">
        <f t="shared" si="16"/>
        <v>0</v>
      </c>
      <c r="L150" s="38" t="e">
        <v>#DIV/0!</v>
      </c>
      <c r="M150" s="39">
        <v>0</v>
      </c>
      <c r="N150" s="35" t="str">
        <f t="shared" si="17"/>
        <v>Kurang</v>
      </c>
      <c r="O150" s="35" t="str">
        <f t="shared" si="18"/>
        <v>Isi Rekomendasi</v>
      </c>
    </row>
    <row r="151" spans="1:15" x14ac:dyDescent="0.25">
      <c r="A151" s="35"/>
      <c r="B151" s="35" t="s">
        <v>390</v>
      </c>
      <c r="C151" s="35" t="s">
        <v>307</v>
      </c>
      <c r="D151" s="36">
        <v>0</v>
      </c>
      <c r="E151" s="36">
        <v>0</v>
      </c>
      <c r="F151" s="36">
        <v>2</v>
      </c>
      <c r="G151" s="36">
        <v>0</v>
      </c>
      <c r="H151" s="36">
        <v>0</v>
      </c>
      <c r="I151" s="36">
        <v>0</v>
      </c>
      <c r="J151" s="37">
        <f t="shared" si="15"/>
        <v>2</v>
      </c>
      <c r="K151" s="37">
        <f t="shared" si="16"/>
        <v>0</v>
      </c>
      <c r="L151" s="38">
        <f>K151/J151</f>
        <v>0</v>
      </c>
      <c r="M151" s="39" t="str">
        <f t="shared" si="19"/>
        <v>0,5</v>
      </c>
      <c r="N151" s="35" t="str">
        <f t="shared" si="17"/>
        <v>Cukup</v>
      </c>
      <c r="O151" s="35" t="str">
        <f t="shared" si="18"/>
        <v>Terlampir Pada LHE ZI</v>
      </c>
    </row>
    <row r="152" spans="1:15" x14ac:dyDescent="0.25">
      <c r="A152" s="35"/>
      <c r="B152" s="35" t="s">
        <v>93</v>
      </c>
      <c r="C152" s="35" t="s">
        <v>307</v>
      </c>
      <c r="D152" s="36">
        <v>2</v>
      </c>
      <c r="E152" s="36">
        <v>0</v>
      </c>
      <c r="F152" s="36">
        <v>2</v>
      </c>
      <c r="G152" s="36">
        <v>0</v>
      </c>
      <c r="H152" s="36">
        <v>4</v>
      </c>
      <c r="I152" s="36">
        <v>0</v>
      </c>
      <c r="J152" s="37">
        <f t="shared" si="15"/>
        <v>8</v>
      </c>
      <c r="K152" s="37">
        <f t="shared" si="16"/>
        <v>0</v>
      </c>
      <c r="L152" s="38">
        <f>K152/J152</f>
        <v>0</v>
      </c>
      <c r="M152" s="39" t="str">
        <f t="shared" si="19"/>
        <v>0,5</v>
      </c>
      <c r="N152" s="35" t="str">
        <f t="shared" si="17"/>
        <v>Cukup</v>
      </c>
      <c r="O152" s="35" t="str">
        <f t="shared" si="18"/>
        <v>Terlampir Pada LHE ZI</v>
      </c>
    </row>
    <row r="153" spans="1:15" x14ac:dyDescent="0.25">
      <c r="A153" s="35"/>
      <c r="B153" s="35" t="s">
        <v>447</v>
      </c>
      <c r="C153" s="35" t="s">
        <v>307</v>
      </c>
      <c r="D153" s="36">
        <v>0</v>
      </c>
      <c r="E153" s="36">
        <v>0</v>
      </c>
      <c r="F153" s="36">
        <v>0</v>
      </c>
      <c r="G153" s="36">
        <v>0</v>
      </c>
      <c r="H153" s="36">
        <v>0</v>
      </c>
      <c r="I153" s="36">
        <v>0</v>
      </c>
      <c r="J153" s="37">
        <f t="shared" si="15"/>
        <v>0</v>
      </c>
      <c r="K153" s="37">
        <f t="shared" si="16"/>
        <v>0</v>
      </c>
      <c r="L153" s="38" t="e">
        <v>#DIV/0!</v>
      </c>
      <c r="M153" s="39">
        <v>0</v>
      </c>
      <c r="N153" s="35" t="str">
        <f t="shared" si="17"/>
        <v>Kurang</v>
      </c>
      <c r="O153" s="35" t="str">
        <f t="shared" si="18"/>
        <v>Isi Rekomendasi</v>
      </c>
    </row>
    <row r="154" spans="1:15" x14ac:dyDescent="0.25">
      <c r="A154" s="35"/>
      <c r="B154" s="35" t="s">
        <v>448</v>
      </c>
      <c r="C154" s="35" t="s">
        <v>307</v>
      </c>
      <c r="D154" s="36">
        <v>0</v>
      </c>
      <c r="E154" s="36">
        <v>0</v>
      </c>
      <c r="F154" s="36">
        <v>0</v>
      </c>
      <c r="G154" s="36">
        <v>0</v>
      </c>
      <c r="H154" s="36">
        <v>0</v>
      </c>
      <c r="I154" s="36">
        <v>0</v>
      </c>
      <c r="J154" s="37">
        <f t="shared" si="15"/>
        <v>0</v>
      </c>
      <c r="K154" s="37">
        <f t="shared" si="16"/>
        <v>0</v>
      </c>
      <c r="L154" s="38" t="e">
        <v>#DIV/0!</v>
      </c>
      <c r="M154" s="39">
        <v>0</v>
      </c>
      <c r="N154" s="35" t="str">
        <f t="shared" si="17"/>
        <v>Kurang</v>
      </c>
      <c r="O154" s="35" t="str">
        <f t="shared" si="18"/>
        <v>Isi Rekomendasi</v>
      </c>
    </row>
    <row r="155" spans="1:15" x14ac:dyDescent="0.25">
      <c r="A155" s="35"/>
      <c r="B155" s="35" t="s">
        <v>449</v>
      </c>
      <c r="C155" s="35" t="s">
        <v>307</v>
      </c>
      <c r="D155" s="36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7">
        <f t="shared" si="15"/>
        <v>0</v>
      </c>
      <c r="K155" s="37">
        <f t="shared" si="16"/>
        <v>0</v>
      </c>
      <c r="L155" s="38" t="e">
        <v>#DIV/0!</v>
      </c>
      <c r="M155" s="39">
        <v>0</v>
      </c>
      <c r="N155" s="35" t="str">
        <f t="shared" si="17"/>
        <v>Kurang</v>
      </c>
      <c r="O155" s="35" t="str">
        <f t="shared" si="18"/>
        <v>Isi Rekomendasi</v>
      </c>
    </row>
    <row r="156" spans="1:15" x14ac:dyDescent="0.25">
      <c r="A156" s="35"/>
      <c r="B156" s="35" t="s">
        <v>450</v>
      </c>
      <c r="C156" s="35" t="s">
        <v>307</v>
      </c>
      <c r="D156" s="36">
        <v>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7">
        <f t="shared" si="15"/>
        <v>0</v>
      </c>
      <c r="K156" s="37">
        <f t="shared" si="16"/>
        <v>0</v>
      </c>
      <c r="L156" s="38" t="e">
        <v>#DIV/0!</v>
      </c>
      <c r="M156" s="39">
        <v>0</v>
      </c>
      <c r="N156" s="35" t="str">
        <f t="shared" si="17"/>
        <v>Kurang</v>
      </c>
      <c r="O156" s="35" t="str">
        <f t="shared" si="18"/>
        <v>Isi Rekomendasi</v>
      </c>
    </row>
    <row r="157" spans="1:15" x14ac:dyDescent="0.25">
      <c r="A157" s="35"/>
      <c r="B157" s="35" t="s">
        <v>451</v>
      </c>
      <c r="C157" s="35" t="s">
        <v>307</v>
      </c>
      <c r="D157" s="36">
        <v>0</v>
      </c>
      <c r="E157" s="36">
        <v>0</v>
      </c>
      <c r="F157" s="36">
        <v>0</v>
      </c>
      <c r="G157" s="36">
        <v>0</v>
      </c>
      <c r="H157" s="36">
        <v>0</v>
      </c>
      <c r="I157" s="36">
        <v>0</v>
      </c>
      <c r="J157" s="37">
        <f t="shared" si="15"/>
        <v>0</v>
      </c>
      <c r="K157" s="37">
        <f t="shared" si="16"/>
        <v>0</v>
      </c>
      <c r="L157" s="38" t="e">
        <v>#DIV/0!</v>
      </c>
      <c r="M157" s="39">
        <v>0</v>
      </c>
      <c r="N157" s="35" t="str">
        <f t="shared" si="17"/>
        <v>Kurang</v>
      </c>
      <c r="O157" s="35" t="str">
        <f t="shared" si="18"/>
        <v>Isi Rekomendasi</v>
      </c>
    </row>
    <row r="158" spans="1:15" x14ac:dyDescent="0.25">
      <c r="A158" s="35"/>
      <c r="B158" s="35" t="s">
        <v>452</v>
      </c>
      <c r="C158" s="35" t="s">
        <v>307</v>
      </c>
      <c r="D158" s="36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7">
        <f t="shared" si="15"/>
        <v>0</v>
      </c>
      <c r="K158" s="37">
        <f t="shared" si="16"/>
        <v>0</v>
      </c>
      <c r="L158" s="38" t="e">
        <v>#DIV/0!</v>
      </c>
      <c r="M158" s="39">
        <v>0</v>
      </c>
      <c r="N158" s="35" t="str">
        <f t="shared" si="17"/>
        <v>Kurang</v>
      </c>
      <c r="O158" s="35" t="str">
        <f t="shared" si="18"/>
        <v>Isi Rekomendasi</v>
      </c>
    </row>
    <row r="159" spans="1:15" x14ac:dyDescent="0.25">
      <c r="A159" s="35"/>
      <c r="B159" s="35" t="s">
        <v>453</v>
      </c>
      <c r="C159" s="35" t="s">
        <v>307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7">
        <f t="shared" si="15"/>
        <v>0</v>
      </c>
      <c r="K159" s="37">
        <f t="shared" si="16"/>
        <v>0</v>
      </c>
      <c r="L159" s="38" t="e">
        <v>#DIV/0!</v>
      </c>
      <c r="M159" s="39">
        <v>0</v>
      </c>
      <c r="N159" s="35" t="str">
        <f t="shared" si="17"/>
        <v>Kurang</v>
      </c>
      <c r="O159" s="35" t="str">
        <f t="shared" si="18"/>
        <v>Isi Rekomendasi</v>
      </c>
    </row>
    <row r="160" spans="1:15" x14ac:dyDescent="0.25">
      <c r="A160" s="35"/>
      <c r="B160" s="35" t="s">
        <v>454</v>
      </c>
      <c r="C160" s="35" t="s">
        <v>307</v>
      </c>
      <c r="D160" s="36">
        <v>0</v>
      </c>
      <c r="E160" s="36">
        <v>0</v>
      </c>
      <c r="F160" s="36">
        <v>0</v>
      </c>
      <c r="G160" s="36">
        <v>0</v>
      </c>
      <c r="H160" s="36">
        <v>0</v>
      </c>
      <c r="I160" s="36">
        <v>0</v>
      </c>
      <c r="J160" s="37">
        <f t="shared" si="15"/>
        <v>0</v>
      </c>
      <c r="K160" s="37">
        <f t="shared" si="16"/>
        <v>0</v>
      </c>
      <c r="L160" s="38" t="e">
        <v>#DIV/0!</v>
      </c>
      <c r="M160" s="39">
        <v>0</v>
      </c>
      <c r="N160" s="35" t="str">
        <f t="shared" si="17"/>
        <v>Kurang</v>
      </c>
      <c r="O160" s="35" t="str">
        <f t="shared" si="18"/>
        <v>Isi Rekomendasi</v>
      </c>
    </row>
    <row r="161" spans="1:15" x14ac:dyDescent="0.25">
      <c r="A161" s="35"/>
      <c r="B161" s="35" t="s">
        <v>354</v>
      </c>
      <c r="C161" s="35" t="s">
        <v>307</v>
      </c>
      <c r="D161" s="36">
        <v>0</v>
      </c>
      <c r="E161" s="36">
        <v>0</v>
      </c>
      <c r="F161" s="36">
        <v>0</v>
      </c>
      <c r="G161" s="36">
        <v>0</v>
      </c>
      <c r="H161" s="36">
        <v>0</v>
      </c>
      <c r="I161" s="36">
        <v>0</v>
      </c>
      <c r="J161" s="37">
        <f t="shared" si="15"/>
        <v>0</v>
      </c>
      <c r="K161" s="37">
        <f t="shared" si="16"/>
        <v>0</v>
      </c>
      <c r="L161" s="38" t="e">
        <v>#DIV/0!</v>
      </c>
      <c r="M161" s="39">
        <v>0</v>
      </c>
      <c r="N161" s="35" t="str">
        <f t="shared" si="17"/>
        <v>Kurang</v>
      </c>
      <c r="O161" s="35" t="str">
        <f t="shared" si="18"/>
        <v>Isi Rekomendasi</v>
      </c>
    </row>
    <row r="162" spans="1:15" x14ac:dyDescent="0.25">
      <c r="A162" s="35"/>
      <c r="B162" s="35" t="s">
        <v>455</v>
      </c>
      <c r="C162" s="35" t="s">
        <v>307</v>
      </c>
      <c r="D162" s="36">
        <v>0</v>
      </c>
      <c r="E162" s="36">
        <v>0</v>
      </c>
      <c r="F162" s="36">
        <v>0</v>
      </c>
      <c r="G162" s="36">
        <v>0</v>
      </c>
      <c r="H162" s="36">
        <v>0</v>
      </c>
      <c r="I162" s="36">
        <v>0</v>
      </c>
      <c r="J162" s="37">
        <f t="shared" si="15"/>
        <v>0</v>
      </c>
      <c r="K162" s="37">
        <f t="shared" si="16"/>
        <v>0</v>
      </c>
      <c r="L162" s="38" t="e">
        <v>#DIV/0!</v>
      </c>
      <c r="M162" s="39">
        <v>0</v>
      </c>
      <c r="N162" s="35" t="str">
        <f t="shared" si="17"/>
        <v>Kurang</v>
      </c>
      <c r="O162" s="35" t="str">
        <f t="shared" si="18"/>
        <v>Isi Rekomendasi</v>
      </c>
    </row>
    <row r="163" spans="1:15" x14ac:dyDescent="0.25">
      <c r="A163" s="35"/>
      <c r="B163" s="35" t="s">
        <v>456</v>
      </c>
      <c r="C163" s="35" t="s">
        <v>307</v>
      </c>
      <c r="D163" s="36">
        <v>0</v>
      </c>
      <c r="E163" s="36">
        <v>0</v>
      </c>
      <c r="F163" s="36">
        <v>0</v>
      </c>
      <c r="G163" s="36">
        <v>0</v>
      </c>
      <c r="H163" s="36">
        <v>0</v>
      </c>
      <c r="I163" s="36">
        <v>0</v>
      </c>
      <c r="J163" s="37">
        <f t="shared" si="15"/>
        <v>0</v>
      </c>
      <c r="K163" s="37">
        <f t="shared" si="16"/>
        <v>0</v>
      </c>
      <c r="L163" s="38" t="e">
        <v>#DIV/0!</v>
      </c>
      <c r="M163" s="39">
        <v>0</v>
      </c>
      <c r="N163" s="35" t="str">
        <f t="shared" si="17"/>
        <v>Kurang</v>
      </c>
      <c r="O163" s="35" t="str">
        <f t="shared" si="18"/>
        <v>Isi Rekomendasi</v>
      </c>
    </row>
    <row r="164" spans="1:15" x14ac:dyDescent="0.25">
      <c r="A164" s="35"/>
      <c r="B164" s="35" t="s">
        <v>457</v>
      </c>
      <c r="C164" s="35" t="s">
        <v>307</v>
      </c>
      <c r="D164" s="36">
        <v>0</v>
      </c>
      <c r="E164" s="36">
        <v>0</v>
      </c>
      <c r="F164" s="36">
        <v>0</v>
      </c>
      <c r="G164" s="36">
        <v>0</v>
      </c>
      <c r="H164" s="36">
        <v>0</v>
      </c>
      <c r="I164" s="36">
        <v>0</v>
      </c>
      <c r="J164" s="37">
        <f t="shared" si="15"/>
        <v>0</v>
      </c>
      <c r="K164" s="37">
        <f t="shared" si="16"/>
        <v>0</v>
      </c>
      <c r="L164" s="38" t="e">
        <v>#DIV/0!</v>
      </c>
      <c r="M164" s="39">
        <v>0</v>
      </c>
      <c r="N164" s="35" t="str">
        <f t="shared" si="17"/>
        <v>Kurang</v>
      </c>
      <c r="O164" s="35" t="str">
        <f t="shared" si="18"/>
        <v>Isi Rekomendasi</v>
      </c>
    </row>
    <row r="165" spans="1:15" x14ac:dyDescent="0.25">
      <c r="A165" s="35"/>
      <c r="B165" s="35" t="s">
        <v>458</v>
      </c>
      <c r="C165" s="35" t="s">
        <v>307</v>
      </c>
      <c r="D165" s="36">
        <v>0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7">
        <f t="shared" si="15"/>
        <v>0</v>
      </c>
      <c r="K165" s="37">
        <f t="shared" si="16"/>
        <v>0</v>
      </c>
      <c r="L165" s="38" t="e">
        <v>#DIV/0!</v>
      </c>
      <c r="M165" s="39">
        <v>0</v>
      </c>
      <c r="N165" s="35" t="str">
        <f t="shared" si="17"/>
        <v>Kurang</v>
      </c>
      <c r="O165" s="35" t="str">
        <f t="shared" si="18"/>
        <v>Isi Rekomendasi</v>
      </c>
    </row>
    <row r="166" spans="1:15" x14ac:dyDescent="0.25">
      <c r="A166" s="35"/>
      <c r="B166" s="35" t="s">
        <v>459</v>
      </c>
      <c r="C166" s="35" t="s">
        <v>307</v>
      </c>
      <c r="D166" s="36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7">
        <f t="shared" si="15"/>
        <v>0</v>
      </c>
      <c r="K166" s="37">
        <f t="shared" si="16"/>
        <v>0</v>
      </c>
      <c r="L166" s="38" t="e">
        <v>#DIV/0!</v>
      </c>
      <c r="M166" s="39">
        <v>0</v>
      </c>
      <c r="N166" s="35" t="str">
        <f t="shared" si="17"/>
        <v>Kurang</v>
      </c>
      <c r="O166" s="35" t="str">
        <f t="shared" si="18"/>
        <v>Isi Rekomendasi</v>
      </c>
    </row>
    <row r="167" spans="1:15" x14ac:dyDescent="0.25">
      <c r="A167" s="35"/>
      <c r="B167" s="35" t="s">
        <v>460</v>
      </c>
      <c r="C167" s="35" t="s">
        <v>307</v>
      </c>
      <c r="D167" s="36">
        <v>0</v>
      </c>
      <c r="E167" s="36">
        <v>0</v>
      </c>
      <c r="F167" s="36">
        <v>0</v>
      </c>
      <c r="G167" s="36">
        <v>0</v>
      </c>
      <c r="H167" s="36">
        <v>0</v>
      </c>
      <c r="I167" s="36">
        <v>0</v>
      </c>
      <c r="J167" s="37">
        <f t="shared" si="15"/>
        <v>0</v>
      </c>
      <c r="K167" s="37">
        <f t="shared" si="16"/>
        <v>0</v>
      </c>
      <c r="L167" s="38" t="e">
        <v>#DIV/0!</v>
      </c>
      <c r="M167" s="39">
        <v>0</v>
      </c>
      <c r="N167" s="35" t="str">
        <f t="shared" si="17"/>
        <v>Kurang</v>
      </c>
      <c r="O167" s="35" t="str">
        <f t="shared" si="18"/>
        <v>Isi Rekomendasi</v>
      </c>
    </row>
    <row r="168" spans="1:15" x14ac:dyDescent="0.25">
      <c r="A168" s="35"/>
      <c r="B168" s="35" t="s">
        <v>461</v>
      </c>
      <c r="C168" s="35" t="s">
        <v>307</v>
      </c>
      <c r="D168" s="36">
        <v>0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7">
        <f t="shared" si="15"/>
        <v>0</v>
      </c>
      <c r="K168" s="37">
        <f t="shared" si="16"/>
        <v>0</v>
      </c>
      <c r="L168" s="38" t="e">
        <v>#DIV/0!</v>
      </c>
      <c r="M168" s="39">
        <v>0</v>
      </c>
      <c r="N168" s="35" t="str">
        <f t="shared" si="17"/>
        <v>Kurang</v>
      </c>
      <c r="O168" s="35" t="str">
        <f t="shared" si="18"/>
        <v>Isi Rekomendasi</v>
      </c>
    </row>
    <row r="169" spans="1:15" x14ac:dyDescent="0.25">
      <c r="A169" s="35"/>
      <c r="B169" s="35" t="s">
        <v>94</v>
      </c>
      <c r="C169" s="35" t="s">
        <v>307</v>
      </c>
      <c r="D169" s="36">
        <v>3</v>
      </c>
      <c r="E169" s="36">
        <v>0</v>
      </c>
      <c r="F169" s="36">
        <v>7</v>
      </c>
      <c r="G169" s="36">
        <v>0</v>
      </c>
      <c r="H169" s="36">
        <v>3</v>
      </c>
      <c r="I169" s="36">
        <v>0</v>
      </c>
      <c r="J169" s="37">
        <f t="shared" si="15"/>
        <v>13</v>
      </c>
      <c r="K169" s="37">
        <f t="shared" si="16"/>
        <v>0</v>
      </c>
      <c r="L169" s="38">
        <f>K169/J169</f>
        <v>0</v>
      </c>
      <c r="M169" s="39" t="str">
        <f t="shared" si="19"/>
        <v>0,5</v>
      </c>
      <c r="N169" s="35" t="str">
        <f t="shared" si="17"/>
        <v>Cukup</v>
      </c>
      <c r="O169" s="35" t="str">
        <f t="shared" si="18"/>
        <v>Terlampir Pada LHE ZI</v>
      </c>
    </row>
    <row r="170" spans="1:15" x14ac:dyDescent="0.25">
      <c r="A170" s="35"/>
      <c r="B170" s="35" t="s">
        <v>95</v>
      </c>
      <c r="C170" s="35" t="s">
        <v>307</v>
      </c>
      <c r="D170" s="36">
        <v>0</v>
      </c>
      <c r="E170" s="36">
        <v>0</v>
      </c>
      <c r="F170" s="36">
        <v>1</v>
      </c>
      <c r="G170" s="36">
        <v>0</v>
      </c>
      <c r="H170" s="36">
        <v>1</v>
      </c>
      <c r="I170" s="36">
        <v>0</v>
      </c>
      <c r="J170" s="37">
        <f t="shared" si="15"/>
        <v>2</v>
      </c>
      <c r="K170" s="37">
        <f t="shared" si="16"/>
        <v>0</v>
      </c>
      <c r="L170" s="38">
        <f>K170/J170</f>
        <v>0</v>
      </c>
      <c r="M170" s="39" t="str">
        <f t="shared" si="19"/>
        <v>0,5</v>
      </c>
      <c r="N170" s="35" t="str">
        <f t="shared" si="17"/>
        <v>Cukup</v>
      </c>
      <c r="O170" s="35" t="str">
        <f t="shared" si="18"/>
        <v>Terlampir Pada LHE ZI</v>
      </c>
    </row>
    <row r="171" spans="1:15" x14ac:dyDescent="0.25">
      <c r="A171" s="35"/>
      <c r="B171" s="35" t="s">
        <v>462</v>
      </c>
      <c r="C171" s="35" t="s">
        <v>307</v>
      </c>
      <c r="D171" s="36">
        <v>0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7">
        <f t="shared" si="15"/>
        <v>0</v>
      </c>
      <c r="K171" s="37">
        <f t="shared" si="16"/>
        <v>0</v>
      </c>
      <c r="L171" s="38" t="e">
        <v>#DIV/0!</v>
      </c>
      <c r="M171" s="39">
        <v>0</v>
      </c>
      <c r="N171" s="35" t="str">
        <f t="shared" si="17"/>
        <v>Kurang</v>
      </c>
      <c r="O171" s="35" t="str">
        <f t="shared" si="18"/>
        <v>Isi Rekomendasi</v>
      </c>
    </row>
    <row r="172" spans="1:15" x14ac:dyDescent="0.25">
      <c r="A172" s="35"/>
      <c r="B172" s="35" t="s">
        <v>463</v>
      </c>
      <c r="C172" s="35" t="s">
        <v>307</v>
      </c>
      <c r="D172" s="36">
        <v>0</v>
      </c>
      <c r="E172" s="36">
        <v>0</v>
      </c>
      <c r="F172" s="36">
        <v>0</v>
      </c>
      <c r="G172" s="36">
        <v>0</v>
      </c>
      <c r="H172" s="36">
        <v>0</v>
      </c>
      <c r="I172" s="36">
        <v>0</v>
      </c>
      <c r="J172" s="37">
        <f t="shared" si="15"/>
        <v>0</v>
      </c>
      <c r="K172" s="37">
        <f t="shared" si="16"/>
        <v>0</v>
      </c>
      <c r="L172" s="38" t="e">
        <v>#DIV/0!</v>
      </c>
      <c r="M172" s="39">
        <v>0</v>
      </c>
      <c r="N172" s="35" t="str">
        <f t="shared" si="17"/>
        <v>Kurang</v>
      </c>
      <c r="O172" s="35" t="str">
        <f t="shared" si="18"/>
        <v>Isi Rekomendasi</v>
      </c>
    </row>
    <row r="173" spans="1:15" x14ac:dyDescent="0.25">
      <c r="A173" s="35"/>
      <c r="B173" s="35" t="s">
        <v>464</v>
      </c>
      <c r="C173" s="35" t="s">
        <v>307</v>
      </c>
      <c r="D173" s="36">
        <v>0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7">
        <f t="shared" si="15"/>
        <v>0</v>
      </c>
      <c r="K173" s="37">
        <f t="shared" si="16"/>
        <v>0</v>
      </c>
      <c r="L173" s="38" t="e">
        <v>#DIV/0!</v>
      </c>
      <c r="M173" s="39">
        <v>0</v>
      </c>
      <c r="N173" s="35" t="str">
        <f t="shared" si="17"/>
        <v>Kurang</v>
      </c>
      <c r="O173" s="35" t="str">
        <f t="shared" si="18"/>
        <v>Isi Rekomendasi</v>
      </c>
    </row>
    <row r="174" spans="1:15" x14ac:dyDescent="0.25">
      <c r="A174" s="35"/>
      <c r="B174" s="35" t="s">
        <v>96</v>
      </c>
      <c r="C174" s="35" t="s">
        <v>307</v>
      </c>
      <c r="D174" s="36">
        <v>3</v>
      </c>
      <c r="E174" s="36">
        <v>0</v>
      </c>
      <c r="F174" s="36">
        <v>0</v>
      </c>
      <c r="G174" s="36">
        <v>0</v>
      </c>
      <c r="H174" s="36">
        <v>4</v>
      </c>
      <c r="I174" s="36">
        <v>0</v>
      </c>
      <c r="J174" s="37">
        <f t="shared" si="15"/>
        <v>7</v>
      </c>
      <c r="K174" s="37">
        <f t="shared" si="16"/>
        <v>0</v>
      </c>
      <c r="L174" s="38">
        <f>K174/J174</f>
        <v>0</v>
      </c>
      <c r="M174" s="39" t="str">
        <f t="shared" si="19"/>
        <v>0,5</v>
      </c>
      <c r="N174" s="35" t="str">
        <f t="shared" si="17"/>
        <v>Cukup</v>
      </c>
      <c r="O174" s="35" t="str">
        <f t="shared" si="18"/>
        <v>Terlampir Pada LHE ZI</v>
      </c>
    </row>
    <row r="175" spans="1:15" x14ac:dyDescent="0.25">
      <c r="A175" s="35"/>
      <c r="B175" s="35" t="s">
        <v>97</v>
      </c>
      <c r="C175" s="35" t="s">
        <v>307</v>
      </c>
      <c r="D175" s="36">
        <v>0</v>
      </c>
      <c r="E175" s="36">
        <v>0</v>
      </c>
      <c r="F175" s="36">
        <v>0</v>
      </c>
      <c r="G175" s="36">
        <v>0</v>
      </c>
      <c r="H175" s="36">
        <v>3</v>
      </c>
      <c r="I175" s="36">
        <v>0</v>
      </c>
      <c r="J175" s="37">
        <f t="shared" si="15"/>
        <v>3</v>
      </c>
      <c r="K175" s="37">
        <f t="shared" si="16"/>
        <v>0</v>
      </c>
      <c r="L175" s="38">
        <f>K175/J175</f>
        <v>0</v>
      </c>
      <c r="M175" s="39" t="str">
        <f t="shared" si="19"/>
        <v>0,5</v>
      </c>
      <c r="N175" s="35" t="str">
        <f t="shared" si="17"/>
        <v>Cukup</v>
      </c>
      <c r="O175" s="35" t="str">
        <f t="shared" si="18"/>
        <v>Terlampir Pada LHE ZI</v>
      </c>
    </row>
    <row r="176" spans="1:15" x14ac:dyDescent="0.25">
      <c r="A176" s="35"/>
      <c r="B176" s="35" t="s">
        <v>98</v>
      </c>
      <c r="C176" s="35" t="s">
        <v>307</v>
      </c>
      <c r="D176" s="36">
        <v>2</v>
      </c>
      <c r="E176" s="36">
        <v>0</v>
      </c>
      <c r="F176" s="36">
        <v>3</v>
      </c>
      <c r="G176" s="36">
        <v>0</v>
      </c>
      <c r="H176" s="36">
        <v>1</v>
      </c>
      <c r="I176" s="36">
        <v>0</v>
      </c>
      <c r="J176" s="37">
        <f t="shared" si="15"/>
        <v>6</v>
      </c>
      <c r="K176" s="37">
        <f t="shared" si="16"/>
        <v>0</v>
      </c>
      <c r="L176" s="38">
        <f>K176/J176</f>
        <v>0</v>
      </c>
      <c r="M176" s="39" t="str">
        <f t="shared" si="19"/>
        <v>0,5</v>
      </c>
      <c r="N176" s="35" t="str">
        <f t="shared" si="17"/>
        <v>Cukup</v>
      </c>
      <c r="O176" s="35" t="str">
        <f t="shared" si="18"/>
        <v>Terlampir Pada LHE ZI</v>
      </c>
    </row>
    <row r="177" spans="1:15" x14ac:dyDescent="0.25">
      <c r="A177" s="35"/>
      <c r="B177" s="35" t="s">
        <v>465</v>
      </c>
      <c r="C177" s="35" t="s">
        <v>307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7">
        <f t="shared" si="15"/>
        <v>0</v>
      </c>
      <c r="K177" s="37">
        <f t="shared" si="16"/>
        <v>0</v>
      </c>
      <c r="L177" s="38" t="e">
        <v>#DIV/0!</v>
      </c>
      <c r="M177" s="39">
        <v>0</v>
      </c>
      <c r="N177" s="35" t="str">
        <f t="shared" si="17"/>
        <v>Kurang</v>
      </c>
      <c r="O177" s="35" t="str">
        <f t="shared" si="18"/>
        <v>Isi Rekomendasi</v>
      </c>
    </row>
    <row r="178" spans="1:15" x14ac:dyDescent="0.25">
      <c r="A178" s="35"/>
      <c r="B178" s="35" t="s">
        <v>466</v>
      </c>
      <c r="C178" s="35" t="s">
        <v>307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7">
        <f t="shared" si="15"/>
        <v>0</v>
      </c>
      <c r="K178" s="37">
        <f t="shared" si="16"/>
        <v>0</v>
      </c>
      <c r="L178" s="38" t="e">
        <v>#DIV/0!</v>
      </c>
      <c r="M178" s="39">
        <v>0</v>
      </c>
      <c r="N178" s="35" t="str">
        <f t="shared" si="17"/>
        <v>Kurang</v>
      </c>
      <c r="O178" s="35" t="str">
        <f t="shared" si="18"/>
        <v>Isi Rekomendasi</v>
      </c>
    </row>
    <row r="179" spans="1:15" x14ac:dyDescent="0.25">
      <c r="A179" s="35"/>
      <c r="B179" s="35" t="s">
        <v>467</v>
      </c>
      <c r="C179" s="35" t="s">
        <v>307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7">
        <f t="shared" si="15"/>
        <v>0</v>
      </c>
      <c r="K179" s="37">
        <f t="shared" si="16"/>
        <v>0</v>
      </c>
      <c r="L179" s="38" t="e">
        <v>#DIV/0!</v>
      </c>
      <c r="M179" s="39">
        <v>0</v>
      </c>
      <c r="N179" s="35" t="str">
        <f t="shared" si="17"/>
        <v>Kurang</v>
      </c>
      <c r="O179" s="35" t="str">
        <f t="shared" si="18"/>
        <v>Isi Rekomendasi</v>
      </c>
    </row>
    <row r="180" spans="1:15" x14ac:dyDescent="0.25">
      <c r="A180" s="35"/>
      <c r="B180" s="35" t="s">
        <v>468</v>
      </c>
      <c r="C180" s="35" t="s">
        <v>307</v>
      </c>
      <c r="D180" s="36">
        <v>0</v>
      </c>
      <c r="E180" s="36">
        <v>0</v>
      </c>
      <c r="F180" s="36">
        <v>0</v>
      </c>
      <c r="G180" s="36">
        <v>0</v>
      </c>
      <c r="H180" s="36">
        <v>0</v>
      </c>
      <c r="I180" s="36">
        <v>0</v>
      </c>
      <c r="J180" s="37">
        <f t="shared" si="15"/>
        <v>0</v>
      </c>
      <c r="K180" s="37">
        <f t="shared" si="16"/>
        <v>0</v>
      </c>
      <c r="L180" s="38" t="e">
        <v>#DIV/0!</v>
      </c>
      <c r="M180" s="39">
        <v>0</v>
      </c>
      <c r="N180" s="35" t="str">
        <f t="shared" si="17"/>
        <v>Kurang</v>
      </c>
      <c r="O180" s="35" t="str">
        <f t="shared" si="18"/>
        <v>Isi Rekomendasi</v>
      </c>
    </row>
    <row r="181" spans="1:15" x14ac:dyDescent="0.25">
      <c r="A181" s="35"/>
      <c r="B181" s="35" t="s">
        <v>469</v>
      </c>
      <c r="C181" s="35" t="s">
        <v>307</v>
      </c>
      <c r="D181" s="36">
        <v>0</v>
      </c>
      <c r="E181" s="36">
        <v>0</v>
      </c>
      <c r="F181" s="36">
        <v>0</v>
      </c>
      <c r="G181" s="36">
        <v>0</v>
      </c>
      <c r="H181" s="36">
        <v>0</v>
      </c>
      <c r="I181" s="36">
        <v>0</v>
      </c>
      <c r="J181" s="37">
        <f t="shared" si="15"/>
        <v>0</v>
      </c>
      <c r="K181" s="37">
        <f t="shared" si="16"/>
        <v>0</v>
      </c>
      <c r="L181" s="38" t="e">
        <v>#DIV/0!</v>
      </c>
      <c r="M181" s="39">
        <v>0</v>
      </c>
      <c r="N181" s="35" t="str">
        <f t="shared" si="17"/>
        <v>Kurang</v>
      </c>
      <c r="O181" s="35" t="str">
        <f t="shared" si="18"/>
        <v>Isi Rekomendasi</v>
      </c>
    </row>
    <row r="182" spans="1:15" x14ac:dyDescent="0.25">
      <c r="A182" s="35"/>
      <c r="B182" s="35" t="s">
        <v>470</v>
      </c>
      <c r="C182" s="35" t="s">
        <v>307</v>
      </c>
      <c r="D182" s="36">
        <v>0</v>
      </c>
      <c r="E182" s="36">
        <v>0</v>
      </c>
      <c r="F182" s="36">
        <v>0</v>
      </c>
      <c r="G182" s="36">
        <v>0</v>
      </c>
      <c r="H182" s="36">
        <v>0</v>
      </c>
      <c r="I182" s="36">
        <v>0</v>
      </c>
      <c r="J182" s="37">
        <f t="shared" si="15"/>
        <v>0</v>
      </c>
      <c r="K182" s="37">
        <f t="shared" si="16"/>
        <v>0</v>
      </c>
      <c r="L182" s="38" t="e">
        <v>#DIV/0!</v>
      </c>
      <c r="M182" s="39">
        <v>0</v>
      </c>
      <c r="N182" s="35" t="str">
        <f t="shared" si="17"/>
        <v>Kurang</v>
      </c>
      <c r="O182" s="35" t="str">
        <f t="shared" si="18"/>
        <v>Isi Rekomendasi</v>
      </c>
    </row>
    <row r="183" spans="1:15" x14ac:dyDescent="0.25">
      <c r="A183" s="35"/>
      <c r="B183" s="35" t="s">
        <v>471</v>
      </c>
      <c r="C183" s="35" t="s">
        <v>307</v>
      </c>
      <c r="D183" s="36">
        <v>0</v>
      </c>
      <c r="E183" s="36">
        <v>0</v>
      </c>
      <c r="F183" s="36">
        <v>0</v>
      </c>
      <c r="G183" s="36">
        <v>0</v>
      </c>
      <c r="H183" s="36">
        <v>0</v>
      </c>
      <c r="I183" s="36">
        <v>0</v>
      </c>
      <c r="J183" s="37">
        <f t="shared" si="15"/>
        <v>0</v>
      </c>
      <c r="K183" s="37">
        <f t="shared" si="16"/>
        <v>0</v>
      </c>
      <c r="L183" s="38" t="e">
        <v>#DIV/0!</v>
      </c>
      <c r="M183" s="39">
        <v>0</v>
      </c>
      <c r="N183" s="35" t="str">
        <f t="shared" si="17"/>
        <v>Kurang</v>
      </c>
      <c r="O183" s="35" t="str">
        <f t="shared" si="18"/>
        <v>Isi Rekomendasi</v>
      </c>
    </row>
    <row r="184" spans="1:15" x14ac:dyDescent="0.25">
      <c r="A184" s="35"/>
      <c r="B184" s="35" t="s">
        <v>99</v>
      </c>
      <c r="C184" s="35" t="s">
        <v>307</v>
      </c>
      <c r="D184" s="36">
        <v>2</v>
      </c>
      <c r="E184" s="36">
        <v>0</v>
      </c>
      <c r="F184" s="36">
        <v>3</v>
      </c>
      <c r="G184" s="36">
        <v>3</v>
      </c>
      <c r="H184" s="36">
        <v>2</v>
      </c>
      <c r="I184" s="36">
        <v>1</v>
      </c>
      <c r="J184" s="37">
        <f t="shared" si="15"/>
        <v>7</v>
      </c>
      <c r="K184" s="37">
        <f t="shared" si="16"/>
        <v>4</v>
      </c>
      <c r="L184" s="38">
        <f>K184/J184</f>
        <v>0.5714285714285714</v>
      </c>
      <c r="M184" s="39" t="str">
        <f t="shared" si="19"/>
        <v>2,5</v>
      </c>
      <c r="N184" s="35" t="str">
        <f t="shared" si="17"/>
        <v>Memuaskan</v>
      </c>
      <c r="O184" s="35" t="str">
        <f t="shared" si="18"/>
        <v>Terlampir Pada LHE ZI</v>
      </c>
    </row>
    <row r="185" spans="1:15" x14ac:dyDescent="0.25">
      <c r="A185" s="35"/>
      <c r="B185" s="35" t="s">
        <v>472</v>
      </c>
      <c r="C185" s="35" t="s">
        <v>307</v>
      </c>
      <c r="D185" s="36">
        <v>0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7">
        <f t="shared" si="15"/>
        <v>0</v>
      </c>
      <c r="K185" s="37">
        <f t="shared" si="16"/>
        <v>0</v>
      </c>
      <c r="L185" s="38" t="e">
        <v>#DIV/0!</v>
      </c>
      <c r="M185" s="39">
        <v>0</v>
      </c>
      <c r="N185" s="35" t="str">
        <f t="shared" si="17"/>
        <v>Kurang</v>
      </c>
      <c r="O185" s="35" t="str">
        <f t="shared" si="18"/>
        <v>Isi Rekomendasi</v>
      </c>
    </row>
    <row r="186" spans="1:15" x14ac:dyDescent="0.25">
      <c r="A186" s="35"/>
      <c r="B186" s="35" t="s">
        <v>473</v>
      </c>
      <c r="C186" s="35" t="s">
        <v>307</v>
      </c>
      <c r="D186" s="36">
        <v>0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7">
        <f t="shared" si="15"/>
        <v>0</v>
      </c>
      <c r="K186" s="37">
        <f t="shared" si="16"/>
        <v>0</v>
      </c>
      <c r="L186" s="38" t="e">
        <v>#DIV/0!</v>
      </c>
      <c r="M186" s="39">
        <v>0</v>
      </c>
      <c r="N186" s="35" t="str">
        <f t="shared" si="17"/>
        <v>Kurang</v>
      </c>
      <c r="O186" s="35" t="str">
        <f t="shared" si="18"/>
        <v>Isi Rekomendasi</v>
      </c>
    </row>
    <row r="187" spans="1:15" x14ac:dyDescent="0.25">
      <c r="A187" s="35"/>
      <c r="B187" s="35" t="s">
        <v>474</v>
      </c>
      <c r="C187" s="35" t="s">
        <v>307</v>
      </c>
      <c r="D187" s="36">
        <v>0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7">
        <f t="shared" si="15"/>
        <v>0</v>
      </c>
      <c r="K187" s="37">
        <f t="shared" si="16"/>
        <v>0</v>
      </c>
      <c r="L187" s="38" t="e">
        <v>#DIV/0!</v>
      </c>
      <c r="M187" s="39">
        <v>0</v>
      </c>
      <c r="N187" s="35" t="str">
        <f t="shared" si="17"/>
        <v>Kurang</v>
      </c>
      <c r="O187" s="35" t="str">
        <f t="shared" si="18"/>
        <v>Isi Rekomendasi</v>
      </c>
    </row>
    <row r="188" spans="1:15" x14ac:dyDescent="0.25">
      <c r="A188" s="35"/>
      <c r="B188" s="35" t="s">
        <v>475</v>
      </c>
      <c r="C188" s="35" t="s">
        <v>307</v>
      </c>
      <c r="D188" s="36">
        <v>0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7">
        <f t="shared" si="15"/>
        <v>0</v>
      </c>
      <c r="K188" s="37">
        <f t="shared" si="16"/>
        <v>0</v>
      </c>
      <c r="L188" s="38" t="e">
        <v>#DIV/0!</v>
      </c>
      <c r="M188" s="39">
        <v>0</v>
      </c>
      <c r="N188" s="35" t="str">
        <f t="shared" si="17"/>
        <v>Kurang</v>
      </c>
      <c r="O188" s="35" t="str">
        <f t="shared" si="18"/>
        <v>Isi Rekomendasi</v>
      </c>
    </row>
    <row r="189" spans="1:15" x14ac:dyDescent="0.25">
      <c r="A189" s="35"/>
      <c r="B189" s="35" t="s">
        <v>476</v>
      </c>
      <c r="C189" s="35" t="s">
        <v>307</v>
      </c>
      <c r="D189" s="36">
        <v>0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7">
        <f t="shared" si="15"/>
        <v>0</v>
      </c>
      <c r="K189" s="37">
        <f t="shared" si="16"/>
        <v>0</v>
      </c>
      <c r="L189" s="38" t="e">
        <v>#DIV/0!</v>
      </c>
      <c r="M189" s="39">
        <v>0</v>
      </c>
      <c r="N189" s="35" t="str">
        <f t="shared" si="17"/>
        <v>Kurang</v>
      </c>
      <c r="O189" s="35" t="str">
        <f t="shared" si="18"/>
        <v>Isi Rekomendasi</v>
      </c>
    </row>
    <row r="190" spans="1:15" x14ac:dyDescent="0.25">
      <c r="A190" s="35"/>
      <c r="B190" s="35" t="s">
        <v>477</v>
      </c>
      <c r="C190" s="35" t="s">
        <v>307</v>
      </c>
      <c r="D190" s="36">
        <v>0</v>
      </c>
      <c r="E190" s="36">
        <v>0</v>
      </c>
      <c r="F190" s="36">
        <v>0</v>
      </c>
      <c r="G190" s="36">
        <v>0</v>
      </c>
      <c r="H190" s="36">
        <v>0</v>
      </c>
      <c r="I190" s="36">
        <v>0</v>
      </c>
      <c r="J190" s="37">
        <f t="shared" si="15"/>
        <v>0</v>
      </c>
      <c r="K190" s="37">
        <f t="shared" si="16"/>
        <v>0</v>
      </c>
      <c r="L190" s="38" t="e">
        <v>#DIV/0!</v>
      </c>
      <c r="M190" s="39">
        <v>0</v>
      </c>
      <c r="N190" s="35" t="str">
        <f t="shared" si="17"/>
        <v>Kurang</v>
      </c>
      <c r="O190" s="35" t="str">
        <f t="shared" si="18"/>
        <v>Isi Rekomendasi</v>
      </c>
    </row>
    <row r="191" spans="1:15" x14ac:dyDescent="0.25">
      <c r="A191" s="35"/>
      <c r="B191" s="35" t="s">
        <v>478</v>
      </c>
      <c r="C191" s="35" t="s">
        <v>307</v>
      </c>
      <c r="D191" s="36">
        <v>0</v>
      </c>
      <c r="E191" s="36">
        <v>0</v>
      </c>
      <c r="F191" s="36">
        <v>0</v>
      </c>
      <c r="G191" s="36">
        <v>0</v>
      </c>
      <c r="H191" s="36">
        <v>0</v>
      </c>
      <c r="I191" s="36">
        <v>0</v>
      </c>
      <c r="J191" s="37">
        <f t="shared" si="15"/>
        <v>0</v>
      </c>
      <c r="K191" s="37">
        <f t="shared" si="16"/>
        <v>0</v>
      </c>
      <c r="L191" s="38" t="e">
        <v>#DIV/0!</v>
      </c>
      <c r="M191" s="39">
        <v>0</v>
      </c>
      <c r="N191" s="35" t="str">
        <f t="shared" si="17"/>
        <v>Kurang</v>
      </c>
      <c r="O191" s="35" t="str">
        <f t="shared" si="18"/>
        <v>Isi Rekomendasi</v>
      </c>
    </row>
    <row r="192" spans="1:15" x14ac:dyDescent="0.25">
      <c r="A192" s="35"/>
      <c r="B192" s="35" t="s">
        <v>479</v>
      </c>
      <c r="C192" s="35" t="s">
        <v>307</v>
      </c>
      <c r="D192" s="36">
        <v>0</v>
      </c>
      <c r="E192" s="36">
        <v>0</v>
      </c>
      <c r="F192" s="36">
        <v>0</v>
      </c>
      <c r="G192" s="36">
        <v>0</v>
      </c>
      <c r="H192" s="36">
        <v>0</v>
      </c>
      <c r="I192" s="36">
        <v>0</v>
      </c>
      <c r="J192" s="37">
        <f t="shared" si="15"/>
        <v>0</v>
      </c>
      <c r="K192" s="37">
        <f t="shared" si="16"/>
        <v>0</v>
      </c>
      <c r="L192" s="38" t="e">
        <v>#DIV/0!</v>
      </c>
      <c r="M192" s="39">
        <v>0</v>
      </c>
      <c r="N192" s="35" t="str">
        <f t="shared" si="17"/>
        <v>Kurang</v>
      </c>
      <c r="O192" s="35" t="str">
        <f t="shared" si="18"/>
        <v>Isi Rekomendasi</v>
      </c>
    </row>
    <row r="193" spans="1:15" x14ac:dyDescent="0.25">
      <c r="A193" s="35"/>
      <c r="B193" s="35" t="s">
        <v>480</v>
      </c>
      <c r="C193" s="35" t="s">
        <v>307</v>
      </c>
      <c r="D193" s="36">
        <v>0</v>
      </c>
      <c r="E193" s="36">
        <v>0</v>
      </c>
      <c r="F193" s="36">
        <v>0</v>
      </c>
      <c r="G193" s="36">
        <v>0</v>
      </c>
      <c r="H193" s="36">
        <v>0</v>
      </c>
      <c r="I193" s="36">
        <v>0</v>
      </c>
      <c r="J193" s="37">
        <f t="shared" si="15"/>
        <v>0</v>
      </c>
      <c r="K193" s="37">
        <f t="shared" si="16"/>
        <v>0</v>
      </c>
      <c r="L193" s="38" t="e">
        <v>#DIV/0!</v>
      </c>
      <c r="M193" s="39">
        <v>0</v>
      </c>
      <c r="N193" s="35" t="str">
        <f t="shared" si="17"/>
        <v>Kurang</v>
      </c>
      <c r="O193" s="35" t="str">
        <f t="shared" si="18"/>
        <v>Isi Rekomendasi</v>
      </c>
    </row>
    <row r="194" spans="1:15" x14ac:dyDescent="0.25">
      <c r="A194" s="35"/>
      <c r="B194" s="35" t="s">
        <v>481</v>
      </c>
      <c r="C194" s="35" t="s">
        <v>307</v>
      </c>
      <c r="D194" s="36">
        <v>0</v>
      </c>
      <c r="E194" s="36">
        <v>0</v>
      </c>
      <c r="F194" s="36">
        <v>0</v>
      </c>
      <c r="G194" s="36">
        <v>0</v>
      </c>
      <c r="H194" s="36">
        <v>0</v>
      </c>
      <c r="I194" s="36">
        <v>0</v>
      </c>
      <c r="J194" s="37">
        <f t="shared" si="15"/>
        <v>0</v>
      </c>
      <c r="K194" s="37">
        <f t="shared" si="16"/>
        <v>0</v>
      </c>
      <c r="L194" s="38" t="e">
        <v>#DIV/0!</v>
      </c>
      <c r="M194" s="39">
        <v>0</v>
      </c>
      <c r="N194" s="35" t="str">
        <f t="shared" si="17"/>
        <v>Kurang</v>
      </c>
      <c r="O194" s="35" t="str">
        <f t="shared" si="18"/>
        <v>Isi Rekomendasi</v>
      </c>
    </row>
    <row r="195" spans="1:15" x14ac:dyDescent="0.25">
      <c r="A195" s="35"/>
      <c r="B195" s="35" t="s">
        <v>100</v>
      </c>
      <c r="C195" s="35" t="s">
        <v>307</v>
      </c>
      <c r="D195" s="36">
        <v>1</v>
      </c>
      <c r="E195" s="36">
        <v>0</v>
      </c>
      <c r="F195" s="36">
        <v>1</v>
      </c>
      <c r="G195" s="36">
        <v>0</v>
      </c>
      <c r="H195" s="36">
        <v>1</v>
      </c>
      <c r="I195" s="36">
        <v>0</v>
      </c>
      <c r="J195" s="37">
        <f t="shared" si="15"/>
        <v>3</v>
      </c>
      <c r="K195" s="37">
        <f t="shared" si="16"/>
        <v>0</v>
      </c>
      <c r="L195" s="38">
        <f>K195/J195</f>
        <v>0</v>
      </c>
      <c r="M195" s="39" t="str">
        <f t="shared" si="19"/>
        <v>0,5</v>
      </c>
      <c r="N195" s="35" t="str">
        <f t="shared" si="17"/>
        <v>Cukup</v>
      </c>
      <c r="O195" s="35" t="str">
        <f t="shared" si="18"/>
        <v>Terlampir Pada LHE ZI</v>
      </c>
    </row>
    <row r="196" spans="1:15" x14ac:dyDescent="0.25">
      <c r="A196" s="35"/>
      <c r="B196" s="35" t="s">
        <v>482</v>
      </c>
      <c r="C196" s="35" t="s">
        <v>307</v>
      </c>
      <c r="D196" s="36">
        <v>0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7">
        <f t="shared" ref="J196:J259" si="21">D196+F196+H196</f>
        <v>0</v>
      </c>
      <c r="K196" s="37">
        <f t="shared" ref="K196:K259" si="22">E196+G196+I196</f>
        <v>0</v>
      </c>
      <c r="L196" s="38" t="e">
        <v>#DIV/0!</v>
      </c>
      <c r="M196" s="39">
        <v>0</v>
      </c>
      <c r="N196" s="35" t="str">
        <f t="shared" ref="N196:N259" si="23">_xlfn.IFS(AND(C196="KL",M196="3"),"Sangat Memuaskan",AND(C196="Pemda",M196="3,5"),"Sangat Memuaskan",AND(C196="KL",M196="2"),"Memuaskan",AND(C196="Pemda",M196="2,5"),"Memuaskan",AND(C196="KL",M196="1"),"Sangat Baik",AND(C196="Pemda",M196="1,5"),"Sangat Baik",AND(C196="KL",M196="0,75"),"Baik",AND(C196="Pemda",M196="0,75"),"Baik",AND(C196="KL",M196="0,5"),"Cukup",AND(C196="Pemda",M196="0,5"),"Cukup",AND(C196="KL",M196&lt;0.5),"Kurang",AND(C196="Pemda",M196&lt;0.5),"Kurang")</f>
        <v>Kurang</v>
      </c>
      <c r="O196" s="35" t="str">
        <f t="shared" ref="O196:O259" si="24">IF(N196="Kurang","Isi Rekomendasi","Terlampir Pada LHE ZI")</f>
        <v>Isi Rekomendasi</v>
      </c>
    </row>
    <row r="197" spans="1:15" x14ac:dyDescent="0.25">
      <c r="A197" s="35"/>
      <c r="B197" s="35" t="s">
        <v>483</v>
      </c>
      <c r="C197" s="35" t="s">
        <v>307</v>
      </c>
      <c r="D197" s="36">
        <v>0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7">
        <f t="shared" si="21"/>
        <v>0</v>
      </c>
      <c r="K197" s="37">
        <f t="shared" si="22"/>
        <v>0</v>
      </c>
      <c r="L197" s="38" t="e">
        <v>#DIV/0!</v>
      </c>
      <c r="M197" s="39">
        <v>0</v>
      </c>
      <c r="N197" s="35" t="str">
        <f t="shared" si="23"/>
        <v>Kurang</v>
      </c>
      <c r="O197" s="35" t="str">
        <f t="shared" si="24"/>
        <v>Isi Rekomendasi</v>
      </c>
    </row>
    <row r="198" spans="1:15" x14ac:dyDescent="0.25">
      <c r="A198" s="35"/>
      <c r="B198" s="35" t="s">
        <v>484</v>
      </c>
      <c r="C198" s="35" t="s">
        <v>307</v>
      </c>
      <c r="D198" s="36">
        <v>0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7">
        <f t="shared" si="21"/>
        <v>0</v>
      </c>
      <c r="K198" s="37">
        <f t="shared" si="22"/>
        <v>0</v>
      </c>
      <c r="L198" s="38" t="e">
        <v>#DIV/0!</v>
      </c>
      <c r="M198" s="39">
        <v>0</v>
      </c>
      <c r="N198" s="35" t="str">
        <f t="shared" si="23"/>
        <v>Kurang</v>
      </c>
      <c r="O198" s="35" t="str">
        <f t="shared" si="24"/>
        <v>Isi Rekomendasi</v>
      </c>
    </row>
    <row r="199" spans="1:15" x14ac:dyDescent="0.25">
      <c r="A199" s="35"/>
      <c r="B199" s="35" t="s">
        <v>485</v>
      </c>
      <c r="C199" s="35" t="s">
        <v>307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7">
        <f t="shared" si="21"/>
        <v>0</v>
      </c>
      <c r="K199" s="37">
        <f t="shared" si="22"/>
        <v>0</v>
      </c>
      <c r="L199" s="38" t="e">
        <v>#DIV/0!</v>
      </c>
      <c r="M199" s="39">
        <v>0</v>
      </c>
      <c r="N199" s="35" t="str">
        <f t="shared" si="23"/>
        <v>Kurang</v>
      </c>
      <c r="O199" s="35" t="str">
        <f t="shared" si="24"/>
        <v>Isi Rekomendasi</v>
      </c>
    </row>
    <row r="200" spans="1:15" x14ac:dyDescent="0.25">
      <c r="A200" s="35"/>
      <c r="B200" s="35" t="s">
        <v>486</v>
      </c>
      <c r="C200" s="35" t="s">
        <v>307</v>
      </c>
      <c r="D200" s="36">
        <v>0</v>
      </c>
      <c r="E200" s="36">
        <v>0</v>
      </c>
      <c r="F200" s="36">
        <v>0</v>
      </c>
      <c r="G200" s="36">
        <v>0</v>
      </c>
      <c r="H200" s="36">
        <v>0</v>
      </c>
      <c r="I200" s="36">
        <v>0</v>
      </c>
      <c r="J200" s="37">
        <f t="shared" si="21"/>
        <v>0</v>
      </c>
      <c r="K200" s="37">
        <f t="shared" si="22"/>
        <v>0</v>
      </c>
      <c r="L200" s="38" t="e">
        <v>#DIV/0!</v>
      </c>
      <c r="M200" s="39">
        <v>0</v>
      </c>
      <c r="N200" s="35" t="str">
        <f t="shared" si="23"/>
        <v>Kurang</v>
      </c>
      <c r="O200" s="35" t="str">
        <f t="shared" si="24"/>
        <v>Isi Rekomendasi</v>
      </c>
    </row>
    <row r="201" spans="1:15" x14ac:dyDescent="0.25">
      <c r="A201" s="35"/>
      <c r="B201" s="35" t="s">
        <v>487</v>
      </c>
      <c r="C201" s="35" t="s">
        <v>307</v>
      </c>
      <c r="D201" s="36">
        <v>0</v>
      </c>
      <c r="E201" s="36">
        <v>0</v>
      </c>
      <c r="F201" s="36">
        <v>0</v>
      </c>
      <c r="G201" s="36">
        <v>0</v>
      </c>
      <c r="H201" s="36">
        <v>0</v>
      </c>
      <c r="I201" s="36">
        <v>0</v>
      </c>
      <c r="J201" s="37">
        <f t="shared" si="21"/>
        <v>0</v>
      </c>
      <c r="K201" s="37">
        <f t="shared" si="22"/>
        <v>0</v>
      </c>
      <c r="L201" s="38" t="e">
        <v>#DIV/0!</v>
      </c>
      <c r="M201" s="39">
        <v>0</v>
      </c>
      <c r="N201" s="35" t="str">
        <f t="shared" si="23"/>
        <v>Kurang</v>
      </c>
      <c r="O201" s="35" t="str">
        <f t="shared" si="24"/>
        <v>Isi Rekomendasi</v>
      </c>
    </row>
    <row r="202" spans="1:15" x14ac:dyDescent="0.25">
      <c r="A202" s="35"/>
      <c r="B202" s="35" t="s">
        <v>488</v>
      </c>
      <c r="C202" s="35" t="s">
        <v>307</v>
      </c>
      <c r="D202" s="36">
        <v>0</v>
      </c>
      <c r="E202" s="36">
        <v>0</v>
      </c>
      <c r="F202" s="36">
        <v>0</v>
      </c>
      <c r="G202" s="36">
        <v>0</v>
      </c>
      <c r="H202" s="36">
        <v>0</v>
      </c>
      <c r="I202" s="36">
        <v>0</v>
      </c>
      <c r="J202" s="37">
        <f t="shared" si="21"/>
        <v>0</v>
      </c>
      <c r="K202" s="37">
        <f t="shared" si="22"/>
        <v>0</v>
      </c>
      <c r="L202" s="38" t="e">
        <v>#DIV/0!</v>
      </c>
      <c r="M202" s="39">
        <v>0</v>
      </c>
      <c r="N202" s="35" t="str">
        <f t="shared" si="23"/>
        <v>Kurang</v>
      </c>
      <c r="O202" s="35" t="str">
        <f t="shared" si="24"/>
        <v>Isi Rekomendasi</v>
      </c>
    </row>
    <row r="203" spans="1:15" x14ac:dyDescent="0.25">
      <c r="A203" s="35"/>
      <c r="B203" s="35" t="s">
        <v>489</v>
      </c>
      <c r="C203" s="35" t="s">
        <v>307</v>
      </c>
      <c r="D203" s="36">
        <v>0</v>
      </c>
      <c r="E203" s="36">
        <v>0</v>
      </c>
      <c r="F203" s="36">
        <v>0</v>
      </c>
      <c r="G203" s="36">
        <v>0</v>
      </c>
      <c r="H203" s="36">
        <v>0</v>
      </c>
      <c r="I203" s="36">
        <v>0</v>
      </c>
      <c r="J203" s="37">
        <f t="shared" si="21"/>
        <v>0</v>
      </c>
      <c r="K203" s="37">
        <f t="shared" si="22"/>
        <v>0</v>
      </c>
      <c r="L203" s="38" t="e">
        <v>#DIV/0!</v>
      </c>
      <c r="M203" s="39">
        <v>0</v>
      </c>
      <c r="N203" s="35" t="str">
        <f t="shared" si="23"/>
        <v>Kurang</v>
      </c>
      <c r="O203" s="35" t="str">
        <f t="shared" si="24"/>
        <v>Isi Rekomendasi</v>
      </c>
    </row>
    <row r="204" spans="1:15" x14ac:dyDescent="0.25">
      <c r="A204" s="35"/>
      <c r="B204" s="35" t="s">
        <v>490</v>
      </c>
      <c r="C204" s="35" t="s">
        <v>307</v>
      </c>
      <c r="D204" s="36">
        <v>0</v>
      </c>
      <c r="E204" s="36">
        <v>0</v>
      </c>
      <c r="F204" s="36">
        <v>0</v>
      </c>
      <c r="G204" s="36">
        <v>0</v>
      </c>
      <c r="H204" s="36">
        <v>0</v>
      </c>
      <c r="I204" s="36">
        <v>0</v>
      </c>
      <c r="J204" s="37">
        <f t="shared" si="21"/>
        <v>0</v>
      </c>
      <c r="K204" s="37">
        <f t="shared" si="22"/>
        <v>0</v>
      </c>
      <c r="L204" s="38" t="e">
        <v>#DIV/0!</v>
      </c>
      <c r="M204" s="39">
        <v>0</v>
      </c>
      <c r="N204" s="35" t="str">
        <f t="shared" si="23"/>
        <v>Kurang</v>
      </c>
      <c r="O204" s="35" t="str">
        <f t="shared" si="24"/>
        <v>Isi Rekomendasi</v>
      </c>
    </row>
    <row r="205" spans="1:15" x14ac:dyDescent="0.25">
      <c r="A205" s="35"/>
      <c r="B205" s="35" t="s">
        <v>491</v>
      </c>
      <c r="C205" s="35" t="s">
        <v>307</v>
      </c>
      <c r="D205" s="36">
        <v>0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7">
        <f t="shared" si="21"/>
        <v>0</v>
      </c>
      <c r="K205" s="37">
        <f t="shared" si="22"/>
        <v>0</v>
      </c>
      <c r="L205" s="38" t="e">
        <v>#DIV/0!</v>
      </c>
      <c r="M205" s="39">
        <v>0</v>
      </c>
      <c r="N205" s="35" t="str">
        <f t="shared" si="23"/>
        <v>Kurang</v>
      </c>
      <c r="O205" s="35" t="str">
        <f t="shared" si="24"/>
        <v>Isi Rekomendasi</v>
      </c>
    </row>
    <row r="206" spans="1:15" x14ac:dyDescent="0.25">
      <c r="A206" s="35"/>
      <c r="B206" s="35" t="s">
        <v>492</v>
      </c>
      <c r="C206" s="35" t="s">
        <v>307</v>
      </c>
      <c r="D206" s="36">
        <v>0</v>
      </c>
      <c r="E206" s="36">
        <v>0</v>
      </c>
      <c r="F206" s="36">
        <v>0</v>
      </c>
      <c r="G206" s="36">
        <v>0</v>
      </c>
      <c r="H206" s="36">
        <v>0</v>
      </c>
      <c r="I206" s="36">
        <v>0</v>
      </c>
      <c r="J206" s="37">
        <f t="shared" si="21"/>
        <v>0</v>
      </c>
      <c r="K206" s="37">
        <f t="shared" si="22"/>
        <v>0</v>
      </c>
      <c r="L206" s="38" t="e">
        <v>#DIV/0!</v>
      </c>
      <c r="M206" s="39">
        <v>0</v>
      </c>
      <c r="N206" s="35" t="str">
        <f t="shared" si="23"/>
        <v>Kurang</v>
      </c>
      <c r="O206" s="35" t="str">
        <f t="shared" si="24"/>
        <v>Isi Rekomendasi</v>
      </c>
    </row>
    <row r="207" spans="1:15" x14ac:dyDescent="0.25">
      <c r="A207" s="35"/>
      <c r="B207" s="35" t="s">
        <v>493</v>
      </c>
      <c r="C207" s="35" t="s">
        <v>307</v>
      </c>
      <c r="D207" s="36">
        <v>0</v>
      </c>
      <c r="E207" s="36">
        <v>0</v>
      </c>
      <c r="F207" s="36">
        <v>0</v>
      </c>
      <c r="G207" s="36">
        <v>0</v>
      </c>
      <c r="H207" s="36">
        <v>0</v>
      </c>
      <c r="I207" s="36">
        <v>0</v>
      </c>
      <c r="J207" s="37">
        <f t="shared" si="21"/>
        <v>0</v>
      </c>
      <c r="K207" s="37">
        <f t="shared" si="22"/>
        <v>0</v>
      </c>
      <c r="L207" s="38" t="e">
        <v>#DIV/0!</v>
      </c>
      <c r="M207" s="39">
        <v>0</v>
      </c>
      <c r="N207" s="35" t="str">
        <f t="shared" si="23"/>
        <v>Kurang</v>
      </c>
      <c r="O207" s="35" t="str">
        <f t="shared" si="24"/>
        <v>Isi Rekomendasi</v>
      </c>
    </row>
    <row r="208" spans="1:15" x14ac:dyDescent="0.25">
      <c r="A208" s="35"/>
      <c r="B208" s="35" t="s">
        <v>494</v>
      </c>
      <c r="C208" s="35" t="s">
        <v>307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7">
        <f t="shared" si="21"/>
        <v>0</v>
      </c>
      <c r="K208" s="37">
        <f t="shared" si="22"/>
        <v>0</v>
      </c>
      <c r="L208" s="38" t="e">
        <v>#DIV/0!</v>
      </c>
      <c r="M208" s="39">
        <v>0</v>
      </c>
      <c r="N208" s="35" t="str">
        <f t="shared" si="23"/>
        <v>Kurang</v>
      </c>
      <c r="O208" s="35" t="str">
        <f t="shared" si="24"/>
        <v>Isi Rekomendasi</v>
      </c>
    </row>
    <row r="209" spans="1:15" x14ac:dyDescent="0.25">
      <c r="A209" s="35"/>
      <c r="B209" s="35" t="s">
        <v>495</v>
      </c>
      <c r="C209" s="35" t="s">
        <v>307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7">
        <f t="shared" si="21"/>
        <v>0</v>
      </c>
      <c r="K209" s="37">
        <f t="shared" si="22"/>
        <v>0</v>
      </c>
      <c r="L209" s="38" t="e">
        <v>#DIV/0!</v>
      </c>
      <c r="M209" s="39">
        <v>0</v>
      </c>
      <c r="N209" s="35" t="str">
        <f t="shared" si="23"/>
        <v>Kurang</v>
      </c>
      <c r="O209" s="35" t="str">
        <f t="shared" si="24"/>
        <v>Isi Rekomendasi</v>
      </c>
    </row>
    <row r="210" spans="1:15" x14ac:dyDescent="0.25">
      <c r="A210" s="35"/>
      <c r="B210" s="35" t="s">
        <v>496</v>
      </c>
      <c r="C210" s="35" t="s">
        <v>307</v>
      </c>
      <c r="D210" s="36">
        <v>0</v>
      </c>
      <c r="E210" s="36">
        <v>0</v>
      </c>
      <c r="F210" s="36">
        <v>0</v>
      </c>
      <c r="G210" s="36">
        <v>0</v>
      </c>
      <c r="H210" s="36">
        <v>0</v>
      </c>
      <c r="I210" s="36">
        <v>0</v>
      </c>
      <c r="J210" s="37">
        <f t="shared" si="21"/>
        <v>0</v>
      </c>
      <c r="K210" s="37">
        <f t="shared" si="22"/>
        <v>0</v>
      </c>
      <c r="L210" s="38" t="e">
        <v>#DIV/0!</v>
      </c>
      <c r="M210" s="39">
        <v>0</v>
      </c>
      <c r="N210" s="35" t="str">
        <f t="shared" si="23"/>
        <v>Kurang</v>
      </c>
      <c r="O210" s="35" t="str">
        <f t="shared" si="24"/>
        <v>Isi Rekomendasi</v>
      </c>
    </row>
    <row r="211" spans="1:15" x14ac:dyDescent="0.25">
      <c r="A211" s="35"/>
      <c r="B211" s="35" t="s">
        <v>497</v>
      </c>
      <c r="C211" s="35" t="s">
        <v>307</v>
      </c>
      <c r="D211" s="36">
        <v>0</v>
      </c>
      <c r="E211" s="36">
        <v>0</v>
      </c>
      <c r="F211" s="36">
        <v>0</v>
      </c>
      <c r="G211" s="36">
        <v>0</v>
      </c>
      <c r="H211" s="36">
        <v>0</v>
      </c>
      <c r="I211" s="36">
        <v>0</v>
      </c>
      <c r="J211" s="37">
        <f t="shared" si="21"/>
        <v>0</v>
      </c>
      <c r="K211" s="37">
        <f t="shared" si="22"/>
        <v>0</v>
      </c>
      <c r="L211" s="38" t="e">
        <v>#DIV/0!</v>
      </c>
      <c r="M211" s="39">
        <v>0</v>
      </c>
      <c r="N211" s="35" t="str">
        <f t="shared" si="23"/>
        <v>Kurang</v>
      </c>
      <c r="O211" s="35" t="str">
        <f t="shared" si="24"/>
        <v>Isi Rekomendasi</v>
      </c>
    </row>
    <row r="212" spans="1:15" x14ac:dyDescent="0.25">
      <c r="A212" s="35"/>
      <c r="B212" s="35" t="s">
        <v>498</v>
      </c>
      <c r="C212" s="35" t="s">
        <v>307</v>
      </c>
      <c r="D212" s="36">
        <v>0</v>
      </c>
      <c r="E212" s="36">
        <v>0</v>
      </c>
      <c r="F212" s="36">
        <v>0</v>
      </c>
      <c r="G212" s="36">
        <v>0</v>
      </c>
      <c r="H212" s="36">
        <v>0</v>
      </c>
      <c r="I212" s="36">
        <v>0</v>
      </c>
      <c r="J212" s="37">
        <f t="shared" si="21"/>
        <v>0</v>
      </c>
      <c r="K212" s="37">
        <f t="shared" si="22"/>
        <v>0</v>
      </c>
      <c r="L212" s="38" t="e">
        <v>#DIV/0!</v>
      </c>
      <c r="M212" s="39">
        <v>0</v>
      </c>
      <c r="N212" s="35" t="str">
        <f t="shared" si="23"/>
        <v>Kurang</v>
      </c>
      <c r="O212" s="35" t="str">
        <f t="shared" si="24"/>
        <v>Isi Rekomendasi</v>
      </c>
    </row>
    <row r="213" spans="1:15" x14ac:dyDescent="0.25">
      <c r="A213" s="35"/>
      <c r="B213" s="35" t="s">
        <v>499</v>
      </c>
      <c r="C213" s="35" t="s">
        <v>307</v>
      </c>
      <c r="D213" s="36">
        <v>0</v>
      </c>
      <c r="E213" s="36">
        <v>0</v>
      </c>
      <c r="F213" s="36">
        <v>0</v>
      </c>
      <c r="G213" s="36">
        <v>0</v>
      </c>
      <c r="H213" s="36">
        <v>0</v>
      </c>
      <c r="I213" s="36">
        <v>0</v>
      </c>
      <c r="J213" s="37">
        <f t="shared" si="21"/>
        <v>0</v>
      </c>
      <c r="K213" s="37">
        <f t="shared" si="22"/>
        <v>0</v>
      </c>
      <c r="L213" s="38" t="e">
        <v>#DIV/0!</v>
      </c>
      <c r="M213" s="39">
        <v>0</v>
      </c>
      <c r="N213" s="35" t="str">
        <f t="shared" si="23"/>
        <v>Kurang</v>
      </c>
      <c r="O213" s="35" t="str">
        <f t="shared" si="24"/>
        <v>Isi Rekomendasi</v>
      </c>
    </row>
    <row r="214" spans="1:15" x14ac:dyDescent="0.25">
      <c r="A214" s="35"/>
      <c r="B214" s="35" t="s">
        <v>500</v>
      </c>
      <c r="C214" s="35" t="s">
        <v>307</v>
      </c>
      <c r="D214" s="36">
        <v>0</v>
      </c>
      <c r="E214" s="36">
        <v>0</v>
      </c>
      <c r="F214" s="36">
        <v>0</v>
      </c>
      <c r="G214" s="36">
        <v>0</v>
      </c>
      <c r="H214" s="36">
        <v>0</v>
      </c>
      <c r="I214" s="36">
        <v>0</v>
      </c>
      <c r="J214" s="37">
        <f t="shared" si="21"/>
        <v>0</v>
      </c>
      <c r="K214" s="37">
        <f t="shared" si="22"/>
        <v>0</v>
      </c>
      <c r="L214" s="38" t="e">
        <v>#DIV/0!</v>
      </c>
      <c r="M214" s="39">
        <v>0</v>
      </c>
      <c r="N214" s="35" t="str">
        <f t="shared" si="23"/>
        <v>Kurang</v>
      </c>
      <c r="O214" s="35" t="str">
        <f t="shared" si="24"/>
        <v>Isi Rekomendasi</v>
      </c>
    </row>
    <row r="215" spans="1:15" x14ac:dyDescent="0.25">
      <c r="A215" s="35"/>
      <c r="B215" s="35" t="s">
        <v>501</v>
      </c>
      <c r="C215" s="35" t="s">
        <v>307</v>
      </c>
      <c r="D215" s="36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7">
        <f t="shared" si="21"/>
        <v>0</v>
      </c>
      <c r="K215" s="37">
        <f t="shared" si="22"/>
        <v>0</v>
      </c>
      <c r="L215" s="38" t="e">
        <v>#DIV/0!</v>
      </c>
      <c r="M215" s="39">
        <v>0</v>
      </c>
      <c r="N215" s="35" t="str">
        <f t="shared" si="23"/>
        <v>Kurang</v>
      </c>
      <c r="O215" s="35" t="str">
        <f t="shared" si="24"/>
        <v>Isi Rekomendasi</v>
      </c>
    </row>
    <row r="216" spans="1:15" x14ac:dyDescent="0.25">
      <c r="A216" s="35"/>
      <c r="B216" s="35" t="s">
        <v>502</v>
      </c>
      <c r="C216" s="35" t="s">
        <v>307</v>
      </c>
      <c r="D216" s="36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7">
        <f t="shared" si="21"/>
        <v>0</v>
      </c>
      <c r="K216" s="37">
        <f t="shared" si="22"/>
        <v>0</v>
      </c>
      <c r="L216" s="38" t="e">
        <v>#DIV/0!</v>
      </c>
      <c r="M216" s="39">
        <v>0</v>
      </c>
      <c r="N216" s="35" t="str">
        <f t="shared" si="23"/>
        <v>Kurang</v>
      </c>
      <c r="O216" s="35" t="str">
        <f t="shared" si="24"/>
        <v>Isi Rekomendasi</v>
      </c>
    </row>
    <row r="217" spans="1:15" x14ac:dyDescent="0.25">
      <c r="A217" s="35"/>
      <c r="B217" s="35" t="s">
        <v>503</v>
      </c>
      <c r="C217" s="35" t="s">
        <v>307</v>
      </c>
      <c r="D217" s="36">
        <v>0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7">
        <f t="shared" si="21"/>
        <v>0</v>
      </c>
      <c r="K217" s="37">
        <f t="shared" si="22"/>
        <v>0</v>
      </c>
      <c r="L217" s="38" t="e">
        <v>#DIV/0!</v>
      </c>
      <c r="M217" s="39">
        <v>0</v>
      </c>
      <c r="N217" s="35" t="str">
        <f t="shared" si="23"/>
        <v>Kurang</v>
      </c>
      <c r="O217" s="35" t="str">
        <f t="shared" si="24"/>
        <v>Isi Rekomendasi</v>
      </c>
    </row>
    <row r="218" spans="1:15" x14ac:dyDescent="0.25">
      <c r="A218" s="35"/>
      <c r="B218" s="35" t="s">
        <v>504</v>
      </c>
      <c r="C218" s="35" t="s">
        <v>307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7">
        <f t="shared" si="21"/>
        <v>0</v>
      </c>
      <c r="K218" s="37">
        <f t="shared" si="22"/>
        <v>0</v>
      </c>
      <c r="L218" s="38" t="e">
        <v>#DIV/0!</v>
      </c>
      <c r="M218" s="39">
        <v>0</v>
      </c>
      <c r="N218" s="35" t="str">
        <f t="shared" si="23"/>
        <v>Kurang</v>
      </c>
      <c r="O218" s="35" t="str">
        <f t="shared" si="24"/>
        <v>Isi Rekomendasi</v>
      </c>
    </row>
    <row r="219" spans="1:15" x14ac:dyDescent="0.25">
      <c r="A219" s="35"/>
      <c r="B219" s="35" t="s">
        <v>505</v>
      </c>
      <c r="C219" s="35" t="s">
        <v>307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7">
        <f t="shared" si="21"/>
        <v>0</v>
      </c>
      <c r="K219" s="37">
        <f t="shared" si="22"/>
        <v>0</v>
      </c>
      <c r="L219" s="38" t="e">
        <v>#DIV/0!</v>
      </c>
      <c r="M219" s="39">
        <v>0</v>
      </c>
      <c r="N219" s="35" t="str">
        <f t="shared" si="23"/>
        <v>Kurang</v>
      </c>
      <c r="O219" s="35" t="str">
        <f t="shared" si="24"/>
        <v>Isi Rekomendasi</v>
      </c>
    </row>
    <row r="220" spans="1:15" x14ac:dyDescent="0.25">
      <c r="A220" s="35"/>
      <c r="B220" s="35" t="s">
        <v>101</v>
      </c>
      <c r="C220" s="35" t="s">
        <v>307</v>
      </c>
      <c r="D220" s="36">
        <v>2</v>
      </c>
      <c r="E220" s="36">
        <v>0</v>
      </c>
      <c r="F220" s="36">
        <v>2</v>
      </c>
      <c r="G220" s="36">
        <v>0</v>
      </c>
      <c r="H220" s="36">
        <v>3</v>
      </c>
      <c r="I220" s="36">
        <v>1</v>
      </c>
      <c r="J220" s="37">
        <f t="shared" si="21"/>
        <v>7</v>
      </c>
      <c r="K220" s="37">
        <f t="shared" si="22"/>
        <v>1</v>
      </c>
      <c r="L220" s="38">
        <f>K220/J220</f>
        <v>0.14285714285714285</v>
      </c>
      <c r="M220" s="39" t="str">
        <f t="shared" ref="M220:M256" si="25">IF(AND(C220="KL",L220&gt;75%),"3",IF(AND(C220="KL",L220&gt;40%),"2",IF(AND(C220="KL",L220&gt;10%),"1",IF(AND(C220="KL",L220&gt;0.1%),"0,75",IF(AND(C220="KL",L220&gt;=0%),"0,5",IF(AND(C220="Pemda",L220&gt;75%),"3,5",IF(AND(C220="Pemda",L220&gt;40%),"2,5",IF(AND(C220="Pemda",L220&gt;10%),"1,5",IF(AND(C220="Pemda",L220&gt;0.1%),"0,75",IF(AND(C220="Pemda",L220&gt;=0%),"0,5","0"))))))))))</f>
        <v>1,5</v>
      </c>
      <c r="N220" s="35" t="str">
        <f t="shared" si="23"/>
        <v>Sangat Baik</v>
      </c>
      <c r="O220" s="35" t="str">
        <f t="shared" si="24"/>
        <v>Terlampir Pada LHE ZI</v>
      </c>
    </row>
    <row r="221" spans="1:15" x14ac:dyDescent="0.25">
      <c r="A221" s="35"/>
      <c r="B221" s="35" t="s">
        <v>506</v>
      </c>
      <c r="C221" s="35" t="s">
        <v>307</v>
      </c>
      <c r="D221" s="36">
        <v>0</v>
      </c>
      <c r="E221" s="36">
        <v>0</v>
      </c>
      <c r="F221" s="36">
        <v>0</v>
      </c>
      <c r="G221" s="36">
        <v>0</v>
      </c>
      <c r="H221" s="36">
        <v>0</v>
      </c>
      <c r="I221" s="36">
        <v>0</v>
      </c>
      <c r="J221" s="37">
        <f t="shared" si="21"/>
        <v>0</v>
      </c>
      <c r="K221" s="37">
        <f t="shared" si="22"/>
        <v>0</v>
      </c>
      <c r="L221" s="38" t="e">
        <v>#DIV/0!</v>
      </c>
      <c r="M221" s="39">
        <v>0</v>
      </c>
      <c r="N221" s="35" t="str">
        <f t="shared" si="23"/>
        <v>Kurang</v>
      </c>
      <c r="O221" s="35" t="str">
        <f t="shared" si="24"/>
        <v>Isi Rekomendasi</v>
      </c>
    </row>
    <row r="222" spans="1:15" x14ac:dyDescent="0.25">
      <c r="A222" s="35"/>
      <c r="B222" s="35" t="s">
        <v>507</v>
      </c>
      <c r="C222" s="35" t="s">
        <v>307</v>
      </c>
      <c r="D222" s="36">
        <v>0</v>
      </c>
      <c r="E222" s="36">
        <v>0</v>
      </c>
      <c r="F222" s="36">
        <v>0</v>
      </c>
      <c r="G222" s="36">
        <v>0</v>
      </c>
      <c r="H222" s="36">
        <v>0</v>
      </c>
      <c r="I222" s="36">
        <v>0</v>
      </c>
      <c r="J222" s="37">
        <f t="shared" si="21"/>
        <v>0</v>
      </c>
      <c r="K222" s="37">
        <f t="shared" si="22"/>
        <v>0</v>
      </c>
      <c r="L222" s="38" t="e">
        <v>#DIV/0!</v>
      </c>
      <c r="M222" s="39">
        <v>0</v>
      </c>
      <c r="N222" s="35" t="str">
        <f t="shared" si="23"/>
        <v>Kurang</v>
      </c>
      <c r="O222" s="35" t="str">
        <f t="shared" si="24"/>
        <v>Isi Rekomendasi</v>
      </c>
    </row>
    <row r="223" spans="1:15" x14ac:dyDescent="0.25">
      <c r="A223" s="35"/>
      <c r="B223" s="35" t="s">
        <v>508</v>
      </c>
      <c r="C223" s="35" t="s">
        <v>307</v>
      </c>
      <c r="D223" s="36">
        <v>0</v>
      </c>
      <c r="E223" s="36">
        <v>0</v>
      </c>
      <c r="F223" s="36">
        <v>0</v>
      </c>
      <c r="G223" s="36">
        <v>0</v>
      </c>
      <c r="H223" s="36">
        <v>0</v>
      </c>
      <c r="I223" s="36">
        <v>0</v>
      </c>
      <c r="J223" s="37">
        <f t="shared" si="21"/>
        <v>0</v>
      </c>
      <c r="K223" s="37">
        <f t="shared" si="22"/>
        <v>0</v>
      </c>
      <c r="L223" s="38" t="e">
        <v>#DIV/0!</v>
      </c>
      <c r="M223" s="39">
        <v>0</v>
      </c>
      <c r="N223" s="35" t="str">
        <f t="shared" si="23"/>
        <v>Kurang</v>
      </c>
      <c r="O223" s="35" t="str">
        <f t="shared" si="24"/>
        <v>Isi Rekomendasi</v>
      </c>
    </row>
    <row r="224" spans="1:15" x14ac:dyDescent="0.25">
      <c r="A224" s="35"/>
      <c r="B224" s="35" t="s">
        <v>509</v>
      </c>
      <c r="C224" s="35" t="s">
        <v>307</v>
      </c>
      <c r="D224" s="36">
        <v>0</v>
      </c>
      <c r="E224" s="36">
        <v>0</v>
      </c>
      <c r="F224" s="36">
        <v>0</v>
      </c>
      <c r="G224" s="36">
        <v>0</v>
      </c>
      <c r="H224" s="36">
        <v>0</v>
      </c>
      <c r="I224" s="36">
        <v>0</v>
      </c>
      <c r="J224" s="37">
        <f t="shared" si="21"/>
        <v>0</v>
      </c>
      <c r="K224" s="37">
        <f t="shared" si="22"/>
        <v>0</v>
      </c>
      <c r="L224" s="38" t="e">
        <v>#DIV/0!</v>
      </c>
      <c r="M224" s="39">
        <v>0</v>
      </c>
      <c r="N224" s="35" t="str">
        <f t="shared" si="23"/>
        <v>Kurang</v>
      </c>
      <c r="O224" s="35" t="str">
        <f t="shared" si="24"/>
        <v>Isi Rekomendasi</v>
      </c>
    </row>
    <row r="225" spans="1:15" x14ac:dyDescent="0.25">
      <c r="A225" s="35"/>
      <c r="B225" s="35" t="s">
        <v>510</v>
      </c>
      <c r="C225" s="35" t="s">
        <v>307</v>
      </c>
      <c r="D225" s="36">
        <v>0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7">
        <f t="shared" si="21"/>
        <v>0</v>
      </c>
      <c r="K225" s="37">
        <f t="shared" si="22"/>
        <v>0</v>
      </c>
      <c r="L225" s="38" t="e">
        <v>#DIV/0!</v>
      </c>
      <c r="M225" s="39">
        <v>0</v>
      </c>
      <c r="N225" s="35" t="str">
        <f t="shared" si="23"/>
        <v>Kurang</v>
      </c>
      <c r="O225" s="35" t="str">
        <f t="shared" si="24"/>
        <v>Isi Rekomendasi</v>
      </c>
    </row>
    <row r="226" spans="1:15" x14ac:dyDescent="0.25">
      <c r="A226" s="35"/>
      <c r="B226" s="35" t="s">
        <v>511</v>
      </c>
      <c r="C226" s="35" t="s">
        <v>307</v>
      </c>
      <c r="D226" s="36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7">
        <f t="shared" si="21"/>
        <v>0</v>
      </c>
      <c r="K226" s="37">
        <f t="shared" si="22"/>
        <v>0</v>
      </c>
      <c r="L226" s="38" t="e">
        <v>#DIV/0!</v>
      </c>
      <c r="M226" s="39">
        <v>0</v>
      </c>
      <c r="N226" s="35" t="str">
        <f t="shared" si="23"/>
        <v>Kurang</v>
      </c>
      <c r="O226" s="35" t="str">
        <f t="shared" si="24"/>
        <v>Isi Rekomendasi</v>
      </c>
    </row>
    <row r="227" spans="1:15" x14ac:dyDescent="0.25">
      <c r="A227" s="35"/>
      <c r="B227" s="35" t="s">
        <v>102</v>
      </c>
      <c r="C227" s="35" t="s">
        <v>307</v>
      </c>
      <c r="D227" s="36">
        <v>2</v>
      </c>
      <c r="E227" s="36">
        <v>0</v>
      </c>
      <c r="F227" s="36">
        <v>1</v>
      </c>
      <c r="G227" s="36">
        <v>0</v>
      </c>
      <c r="H227" s="36">
        <v>2</v>
      </c>
      <c r="I227" s="36">
        <v>0</v>
      </c>
      <c r="J227" s="37">
        <f t="shared" si="21"/>
        <v>5</v>
      </c>
      <c r="K227" s="37">
        <f t="shared" si="22"/>
        <v>0</v>
      </c>
      <c r="L227" s="38">
        <f>K227/J227</f>
        <v>0</v>
      </c>
      <c r="M227" s="39" t="str">
        <f t="shared" si="25"/>
        <v>0,5</v>
      </c>
      <c r="N227" s="35" t="str">
        <f t="shared" si="23"/>
        <v>Cukup</v>
      </c>
      <c r="O227" s="35" t="str">
        <f t="shared" si="24"/>
        <v>Terlampir Pada LHE ZI</v>
      </c>
    </row>
    <row r="228" spans="1:15" x14ac:dyDescent="0.25">
      <c r="A228" s="35"/>
      <c r="B228" s="35" t="s">
        <v>386</v>
      </c>
      <c r="C228" s="35" t="s">
        <v>307</v>
      </c>
      <c r="D228" s="36">
        <v>0</v>
      </c>
      <c r="E228" s="36">
        <v>0</v>
      </c>
      <c r="F228" s="36">
        <v>3</v>
      </c>
      <c r="G228" s="36">
        <v>0</v>
      </c>
      <c r="H228" s="36">
        <v>0</v>
      </c>
      <c r="I228" s="36">
        <v>0</v>
      </c>
      <c r="J228" s="37">
        <f t="shared" si="21"/>
        <v>3</v>
      </c>
      <c r="K228" s="37">
        <f t="shared" si="22"/>
        <v>0</v>
      </c>
      <c r="L228" s="38">
        <f>K228/J228</f>
        <v>0</v>
      </c>
      <c r="M228" s="39" t="str">
        <f t="shared" si="25"/>
        <v>0,5</v>
      </c>
      <c r="N228" s="35" t="str">
        <f t="shared" si="23"/>
        <v>Cukup</v>
      </c>
      <c r="O228" s="35" t="str">
        <f t="shared" si="24"/>
        <v>Terlampir Pada LHE ZI</v>
      </c>
    </row>
    <row r="229" spans="1:15" x14ac:dyDescent="0.25">
      <c r="A229" s="35"/>
      <c r="B229" s="35" t="s">
        <v>512</v>
      </c>
      <c r="C229" s="35" t="s">
        <v>307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7">
        <f t="shared" si="21"/>
        <v>0</v>
      </c>
      <c r="K229" s="37">
        <f t="shared" si="22"/>
        <v>0</v>
      </c>
      <c r="L229" s="38" t="e">
        <v>#DIV/0!</v>
      </c>
      <c r="M229" s="39">
        <v>0</v>
      </c>
      <c r="N229" s="35" t="str">
        <f t="shared" si="23"/>
        <v>Kurang</v>
      </c>
      <c r="O229" s="35" t="str">
        <f t="shared" si="24"/>
        <v>Isi Rekomendasi</v>
      </c>
    </row>
    <row r="230" spans="1:15" x14ac:dyDescent="0.25">
      <c r="A230" s="35"/>
      <c r="B230" s="35" t="s">
        <v>513</v>
      </c>
      <c r="C230" s="35" t="s">
        <v>307</v>
      </c>
      <c r="D230" s="36">
        <v>0</v>
      </c>
      <c r="E230" s="36">
        <v>0</v>
      </c>
      <c r="F230" s="36">
        <v>0</v>
      </c>
      <c r="G230" s="36">
        <v>0</v>
      </c>
      <c r="H230" s="36">
        <v>0</v>
      </c>
      <c r="I230" s="36">
        <v>0</v>
      </c>
      <c r="J230" s="37">
        <f t="shared" si="21"/>
        <v>0</v>
      </c>
      <c r="K230" s="37">
        <f t="shared" si="22"/>
        <v>0</v>
      </c>
      <c r="L230" s="38" t="e">
        <v>#DIV/0!</v>
      </c>
      <c r="M230" s="39">
        <v>0</v>
      </c>
      <c r="N230" s="35" t="str">
        <f t="shared" si="23"/>
        <v>Kurang</v>
      </c>
      <c r="O230" s="35" t="str">
        <f t="shared" si="24"/>
        <v>Isi Rekomendasi</v>
      </c>
    </row>
    <row r="231" spans="1:15" x14ac:dyDescent="0.25">
      <c r="A231" s="35"/>
      <c r="B231" s="35" t="s">
        <v>514</v>
      </c>
      <c r="C231" s="35" t="s">
        <v>307</v>
      </c>
      <c r="D231" s="36">
        <v>0</v>
      </c>
      <c r="E231" s="36">
        <v>0</v>
      </c>
      <c r="F231" s="36">
        <v>0</v>
      </c>
      <c r="G231" s="36">
        <v>0</v>
      </c>
      <c r="H231" s="36">
        <v>0</v>
      </c>
      <c r="I231" s="36">
        <v>0</v>
      </c>
      <c r="J231" s="37">
        <f t="shared" si="21"/>
        <v>0</v>
      </c>
      <c r="K231" s="37">
        <f t="shared" si="22"/>
        <v>0</v>
      </c>
      <c r="L231" s="38" t="e">
        <v>#DIV/0!</v>
      </c>
      <c r="M231" s="39">
        <v>0</v>
      </c>
      <c r="N231" s="35" t="str">
        <f t="shared" si="23"/>
        <v>Kurang</v>
      </c>
      <c r="O231" s="35" t="str">
        <f t="shared" si="24"/>
        <v>Isi Rekomendasi</v>
      </c>
    </row>
    <row r="232" spans="1:15" x14ac:dyDescent="0.25">
      <c r="A232" s="35"/>
      <c r="B232" s="35" t="s">
        <v>515</v>
      </c>
      <c r="C232" s="35" t="s">
        <v>307</v>
      </c>
      <c r="D232" s="36">
        <v>0</v>
      </c>
      <c r="E232" s="36">
        <v>0</v>
      </c>
      <c r="F232" s="36">
        <v>0</v>
      </c>
      <c r="G232" s="36">
        <v>0</v>
      </c>
      <c r="H232" s="36">
        <v>0</v>
      </c>
      <c r="I232" s="36">
        <v>0</v>
      </c>
      <c r="J232" s="37">
        <f t="shared" si="21"/>
        <v>0</v>
      </c>
      <c r="K232" s="37">
        <f t="shared" si="22"/>
        <v>0</v>
      </c>
      <c r="L232" s="38" t="e">
        <v>#DIV/0!</v>
      </c>
      <c r="M232" s="39">
        <v>0</v>
      </c>
      <c r="N232" s="35" t="str">
        <f t="shared" si="23"/>
        <v>Kurang</v>
      </c>
      <c r="O232" s="35" t="str">
        <f t="shared" si="24"/>
        <v>Isi Rekomendasi</v>
      </c>
    </row>
    <row r="233" spans="1:15" x14ac:dyDescent="0.25">
      <c r="A233" s="35"/>
      <c r="B233" s="35" t="s">
        <v>516</v>
      </c>
      <c r="C233" s="35" t="s">
        <v>307</v>
      </c>
      <c r="D233" s="36">
        <v>0</v>
      </c>
      <c r="E233" s="36">
        <v>0</v>
      </c>
      <c r="F233" s="36">
        <v>0</v>
      </c>
      <c r="G233" s="36">
        <v>0</v>
      </c>
      <c r="H233" s="36">
        <v>0</v>
      </c>
      <c r="I233" s="36">
        <v>0</v>
      </c>
      <c r="J233" s="37">
        <f t="shared" si="21"/>
        <v>0</v>
      </c>
      <c r="K233" s="37">
        <f t="shared" si="22"/>
        <v>0</v>
      </c>
      <c r="L233" s="38" t="e">
        <v>#DIV/0!</v>
      </c>
      <c r="M233" s="39">
        <v>0</v>
      </c>
      <c r="N233" s="35" t="str">
        <f t="shared" si="23"/>
        <v>Kurang</v>
      </c>
      <c r="O233" s="35" t="str">
        <f t="shared" si="24"/>
        <v>Isi Rekomendasi</v>
      </c>
    </row>
    <row r="234" spans="1:15" x14ac:dyDescent="0.25">
      <c r="A234" s="35"/>
      <c r="B234" s="35" t="s">
        <v>103</v>
      </c>
      <c r="C234" s="35" t="s">
        <v>307</v>
      </c>
      <c r="D234" s="36">
        <v>0</v>
      </c>
      <c r="E234" s="36">
        <v>0</v>
      </c>
      <c r="F234" s="36">
        <v>0</v>
      </c>
      <c r="G234" s="36">
        <v>0</v>
      </c>
      <c r="H234" s="36">
        <v>5</v>
      </c>
      <c r="I234" s="36">
        <v>0</v>
      </c>
      <c r="J234" s="37">
        <f t="shared" si="21"/>
        <v>5</v>
      </c>
      <c r="K234" s="37">
        <f t="shared" si="22"/>
        <v>0</v>
      </c>
      <c r="L234" s="38">
        <f>K234/J234</f>
        <v>0</v>
      </c>
      <c r="M234" s="39" t="str">
        <f t="shared" si="25"/>
        <v>0,5</v>
      </c>
      <c r="N234" s="35" t="str">
        <f t="shared" si="23"/>
        <v>Cukup</v>
      </c>
      <c r="O234" s="35" t="str">
        <f t="shared" si="24"/>
        <v>Terlampir Pada LHE ZI</v>
      </c>
    </row>
    <row r="235" spans="1:15" x14ac:dyDescent="0.25">
      <c r="A235" s="35"/>
      <c r="B235" s="35" t="s">
        <v>517</v>
      </c>
      <c r="C235" s="35" t="s">
        <v>307</v>
      </c>
      <c r="D235" s="36">
        <v>0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7">
        <f t="shared" si="21"/>
        <v>0</v>
      </c>
      <c r="K235" s="37">
        <f t="shared" si="22"/>
        <v>0</v>
      </c>
      <c r="L235" s="38" t="e">
        <v>#DIV/0!</v>
      </c>
      <c r="M235" s="39">
        <v>0</v>
      </c>
      <c r="N235" s="35" t="str">
        <f t="shared" si="23"/>
        <v>Kurang</v>
      </c>
      <c r="O235" s="35" t="str">
        <f t="shared" si="24"/>
        <v>Isi Rekomendasi</v>
      </c>
    </row>
    <row r="236" spans="1:15" x14ac:dyDescent="0.25">
      <c r="A236" s="35"/>
      <c r="B236" s="35" t="s">
        <v>368</v>
      </c>
      <c r="C236" s="35" t="s">
        <v>307</v>
      </c>
      <c r="D236" s="36">
        <v>0</v>
      </c>
      <c r="E236" s="36">
        <v>0</v>
      </c>
      <c r="F236" s="36">
        <v>0</v>
      </c>
      <c r="G236" s="36">
        <v>0</v>
      </c>
      <c r="H236" s="36">
        <v>0</v>
      </c>
      <c r="I236" s="36">
        <v>0</v>
      </c>
      <c r="J236" s="37">
        <f t="shared" si="21"/>
        <v>0</v>
      </c>
      <c r="K236" s="37">
        <f t="shared" si="22"/>
        <v>0</v>
      </c>
      <c r="L236" s="38" t="e">
        <v>#DIV/0!</v>
      </c>
      <c r="M236" s="39">
        <v>0</v>
      </c>
      <c r="N236" s="35" t="str">
        <f t="shared" si="23"/>
        <v>Kurang</v>
      </c>
      <c r="O236" s="35" t="str">
        <f t="shared" si="24"/>
        <v>Isi Rekomendasi</v>
      </c>
    </row>
    <row r="237" spans="1:15" x14ac:dyDescent="0.25">
      <c r="A237" s="35"/>
      <c r="B237" s="35" t="s">
        <v>518</v>
      </c>
      <c r="C237" s="35" t="s">
        <v>307</v>
      </c>
      <c r="D237" s="36">
        <v>0</v>
      </c>
      <c r="E237" s="36">
        <v>0</v>
      </c>
      <c r="F237" s="36">
        <v>0</v>
      </c>
      <c r="G237" s="36">
        <v>0</v>
      </c>
      <c r="H237" s="36">
        <v>0</v>
      </c>
      <c r="I237" s="36">
        <v>0</v>
      </c>
      <c r="J237" s="37">
        <f t="shared" si="21"/>
        <v>0</v>
      </c>
      <c r="K237" s="37">
        <f t="shared" si="22"/>
        <v>0</v>
      </c>
      <c r="L237" s="38" t="e">
        <v>#DIV/0!</v>
      </c>
      <c r="M237" s="39">
        <v>0</v>
      </c>
      <c r="N237" s="35" t="str">
        <f t="shared" si="23"/>
        <v>Kurang</v>
      </c>
      <c r="O237" s="35" t="str">
        <f t="shared" si="24"/>
        <v>Isi Rekomendasi</v>
      </c>
    </row>
    <row r="238" spans="1:15" x14ac:dyDescent="0.25">
      <c r="A238" s="35"/>
      <c r="B238" s="35" t="s">
        <v>104</v>
      </c>
      <c r="C238" s="35" t="s">
        <v>307</v>
      </c>
      <c r="D238" s="36">
        <v>1</v>
      </c>
      <c r="E238" s="36">
        <v>0</v>
      </c>
      <c r="F238" s="36">
        <v>0</v>
      </c>
      <c r="G238" s="36">
        <v>0</v>
      </c>
      <c r="H238" s="36">
        <v>3</v>
      </c>
      <c r="I238" s="36">
        <v>0</v>
      </c>
      <c r="J238" s="37">
        <f t="shared" si="21"/>
        <v>4</v>
      </c>
      <c r="K238" s="37">
        <f t="shared" si="22"/>
        <v>0</v>
      </c>
      <c r="L238" s="38">
        <f>K238/J238</f>
        <v>0</v>
      </c>
      <c r="M238" s="39" t="str">
        <f t="shared" si="25"/>
        <v>0,5</v>
      </c>
      <c r="N238" s="35" t="str">
        <f t="shared" si="23"/>
        <v>Cukup</v>
      </c>
      <c r="O238" s="35" t="str">
        <f t="shared" si="24"/>
        <v>Terlampir Pada LHE ZI</v>
      </c>
    </row>
    <row r="239" spans="1:15" x14ac:dyDescent="0.25">
      <c r="A239" s="35"/>
      <c r="B239" s="35" t="s">
        <v>105</v>
      </c>
      <c r="C239" s="35" t="s">
        <v>307</v>
      </c>
      <c r="D239" s="36">
        <v>0</v>
      </c>
      <c r="E239" s="36">
        <v>0</v>
      </c>
      <c r="F239" s="36">
        <v>0</v>
      </c>
      <c r="G239" s="36">
        <v>0</v>
      </c>
      <c r="H239" s="36">
        <v>5</v>
      </c>
      <c r="I239" s="36">
        <v>0</v>
      </c>
      <c r="J239" s="37">
        <f t="shared" si="21"/>
        <v>5</v>
      </c>
      <c r="K239" s="37">
        <f t="shared" si="22"/>
        <v>0</v>
      </c>
      <c r="L239" s="38">
        <f>K239/J239</f>
        <v>0</v>
      </c>
      <c r="M239" s="39" t="str">
        <f t="shared" si="25"/>
        <v>0,5</v>
      </c>
      <c r="N239" s="35" t="str">
        <f t="shared" si="23"/>
        <v>Cukup</v>
      </c>
      <c r="O239" s="35" t="str">
        <f t="shared" si="24"/>
        <v>Terlampir Pada LHE ZI</v>
      </c>
    </row>
    <row r="240" spans="1:15" x14ac:dyDescent="0.25">
      <c r="A240" s="35"/>
      <c r="B240" s="35" t="s">
        <v>519</v>
      </c>
      <c r="C240" s="35" t="s">
        <v>307</v>
      </c>
      <c r="D240" s="36">
        <v>0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7">
        <f t="shared" si="21"/>
        <v>0</v>
      </c>
      <c r="K240" s="37">
        <f t="shared" si="22"/>
        <v>0</v>
      </c>
      <c r="L240" s="38" t="e">
        <v>#DIV/0!</v>
      </c>
      <c r="M240" s="39">
        <v>0</v>
      </c>
      <c r="N240" s="35" t="str">
        <f t="shared" si="23"/>
        <v>Kurang</v>
      </c>
      <c r="O240" s="35" t="str">
        <f t="shared" si="24"/>
        <v>Isi Rekomendasi</v>
      </c>
    </row>
    <row r="241" spans="1:15" x14ac:dyDescent="0.25">
      <c r="A241" s="35"/>
      <c r="B241" s="35" t="s">
        <v>372</v>
      </c>
      <c r="C241" s="35" t="s">
        <v>307</v>
      </c>
      <c r="D241" s="36">
        <v>0</v>
      </c>
      <c r="E241" s="36">
        <v>0</v>
      </c>
      <c r="F241" s="36">
        <v>1</v>
      </c>
      <c r="G241" s="36">
        <v>0</v>
      </c>
      <c r="H241" s="36">
        <v>0</v>
      </c>
      <c r="I241" s="36">
        <v>0</v>
      </c>
      <c r="J241" s="37">
        <f t="shared" si="21"/>
        <v>1</v>
      </c>
      <c r="K241" s="37">
        <f t="shared" si="22"/>
        <v>0</v>
      </c>
      <c r="L241" s="38">
        <f>K241/J241</f>
        <v>0</v>
      </c>
      <c r="M241" s="39" t="str">
        <f t="shared" si="25"/>
        <v>0,5</v>
      </c>
      <c r="N241" s="35" t="str">
        <f t="shared" si="23"/>
        <v>Cukup</v>
      </c>
      <c r="O241" s="35" t="str">
        <f t="shared" si="24"/>
        <v>Terlampir Pada LHE ZI</v>
      </c>
    </row>
    <row r="242" spans="1:15" x14ac:dyDescent="0.25">
      <c r="A242" s="35"/>
      <c r="B242" s="35" t="s">
        <v>520</v>
      </c>
      <c r="C242" s="35" t="s">
        <v>307</v>
      </c>
      <c r="D242" s="36">
        <v>0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7">
        <f t="shared" si="21"/>
        <v>0</v>
      </c>
      <c r="K242" s="37">
        <f t="shared" si="22"/>
        <v>0</v>
      </c>
      <c r="L242" s="38" t="e">
        <v>#DIV/0!</v>
      </c>
      <c r="M242" s="39">
        <v>0</v>
      </c>
      <c r="N242" s="35" t="str">
        <f t="shared" si="23"/>
        <v>Kurang</v>
      </c>
      <c r="O242" s="35" t="str">
        <f t="shared" si="24"/>
        <v>Isi Rekomendasi</v>
      </c>
    </row>
    <row r="243" spans="1:15" x14ac:dyDescent="0.25">
      <c r="A243" s="35"/>
      <c r="B243" s="35" t="s">
        <v>521</v>
      </c>
      <c r="C243" s="35" t="s">
        <v>307</v>
      </c>
      <c r="D243" s="36">
        <v>0</v>
      </c>
      <c r="E243" s="36">
        <v>0</v>
      </c>
      <c r="F243" s="36">
        <v>0</v>
      </c>
      <c r="G243" s="36">
        <v>0</v>
      </c>
      <c r="H243" s="36">
        <v>0</v>
      </c>
      <c r="I243" s="36">
        <v>0</v>
      </c>
      <c r="J243" s="37">
        <f t="shared" si="21"/>
        <v>0</v>
      </c>
      <c r="K243" s="37">
        <f t="shared" si="22"/>
        <v>0</v>
      </c>
      <c r="L243" s="38" t="e">
        <v>#DIV/0!</v>
      </c>
      <c r="M243" s="39">
        <v>0</v>
      </c>
      <c r="N243" s="35" t="str">
        <f t="shared" si="23"/>
        <v>Kurang</v>
      </c>
      <c r="O243" s="35" t="str">
        <f t="shared" si="24"/>
        <v>Isi Rekomendasi</v>
      </c>
    </row>
    <row r="244" spans="1:15" x14ac:dyDescent="0.25">
      <c r="A244" s="35"/>
      <c r="B244" s="35" t="s">
        <v>522</v>
      </c>
      <c r="C244" s="35" t="s">
        <v>307</v>
      </c>
      <c r="D244" s="36">
        <v>0</v>
      </c>
      <c r="E244" s="36">
        <v>0</v>
      </c>
      <c r="F244" s="36">
        <v>0</v>
      </c>
      <c r="G244" s="36">
        <v>0</v>
      </c>
      <c r="H244" s="36">
        <v>0</v>
      </c>
      <c r="I244" s="36">
        <v>0</v>
      </c>
      <c r="J244" s="37">
        <f t="shared" si="21"/>
        <v>0</v>
      </c>
      <c r="K244" s="37">
        <f t="shared" si="22"/>
        <v>0</v>
      </c>
      <c r="L244" s="38" t="e">
        <v>#DIV/0!</v>
      </c>
      <c r="M244" s="39">
        <v>0</v>
      </c>
      <c r="N244" s="35" t="str">
        <f t="shared" si="23"/>
        <v>Kurang</v>
      </c>
      <c r="O244" s="35" t="str">
        <f t="shared" si="24"/>
        <v>Isi Rekomendasi</v>
      </c>
    </row>
    <row r="245" spans="1:15" x14ac:dyDescent="0.25">
      <c r="A245" s="35"/>
      <c r="B245" s="35" t="s">
        <v>377</v>
      </c>
      <c r="C245" s="35" t="s">
        <v>307</v>
      </c>
      <c r="D245" s="36">
        <v>0</v>
      </c>
      <c r="E245" s="36">
        <v>0</v>
      </c>
      <c r="F245" s="36">
        <v>0</v>
      </c>
      <c r="G245" s="36">
        <v>0</v>
      </c>
      <c r="H245" s="36">
        <v>0</v>
      </c>
      <c r="I245" s="36">
        <v>0</v>
      </c>
      <c r="J245" s="37">
        <f t="shared" si="21"/>
        <v>0</v>
      </c>
      <c r="K245" s="37">
        <f t="shared" si="22"/>
        <v>0</v>
      </c>
      <c r="L245" s="38" t="e">
        <v>#DIV/0!</v>
      </c>
      <c r="M245" s="39">
        <v>0</v>
      </c>
      <c r="N245" s="35" t="str">
        <f t="shared" si="23"/>
        <v>Kurang</v>
      </c>
      <c r="O245" s="35" t="str">
        <f t="shared" si="24"/>
        <v>Isi Rekomendasi</v>
      </c>
    </row>
    <row r="246" spans="1:15" x14ac:dyDescent="0.25">
      <c r="A246" s="35"/>
      <c r="B246" s="35" t="s">
        <v>523</v>
      </c>
      <c r="C246" s="35" t="s">
        <v>307</v>
      </c>
      <c r="D246" s="36">
        <v>0</v>
      </c>
      <c r="E246" s="36">
        <v>0</v>
      </c>
      <c r="F246" s="36">
        <v>0</v>
      </c>
      <c r="G246" s="36">
        <v>0</v>
      </c>
      <c r="H246" s="36">
        <v>0</v>
      </c>
      <c r="I246" s="36">
        <v>0</v>
      </c>
      <c r="J246" s="37">
        <f t="shared" si="21"/>
        <v>0</v>
      </c>
      <c r="K246" s="37">
        <f t="shared" si="22"/>
        <v>0</v>
      </c>
      <c r="L246" s="38" t="e">
        <v>#DIV/0!</v>
      </c>
      <c r="M246" s="39">
        <v>0</v>
      </c>
      <c r="N246" s="35" t="str">
        <f t="shared" si="23"/>
        <v>Kurang</v>
      </c>
      <c r="O246" s="35" t="str">
        <f t="shared" si="24"/>
        <v>Isi Rekomendasi</v>
      </c>
    </row>
    <row r="247" spans="1:15" x14ac:dyDescent="0.25">
      <c r="A247" s="35"/>
      <c r="B247" s="35" t="s">
        <v>524</v>
      </c>
      <c r="C247" s="35" t="s">
        <v>307</v>
      </c>
      <c r="D247" s="36">
        <v>0</v>
      </c>
      <c r="E247" s="36">
        <v>0</v>
      </c>
      <c r="F247" s="36">
        <v>0</v>
      </c>
      <c r="G247" s="36">
        <v>0</v>
      </c>
      <c r="H247" s="36">
        <v>0</v>
      </c>
      <c r="I247" s="36">
        <v>0</v>
      </c>
      <c r="J247" s="37">
        <f t="shared" si="21"/>
        <v>0</v>
      </c>
      <c r="K247" s="37">
        <f t="shared" si="22"/>
        <v>0</v>
      </c>
      <c r="L247" s="38" t="e">
        <v>#DIV/0!</v>
      </c>
      <c r="M247" s="39">
        <v>0</v>
      </c>
      <c r="N247" s="35" t="str">
        <f t="shared" si="23"/>
        <v>Kurang</v>
      </c>
      <c r="O247" s="35" t="str">
        <f t="shared" si="24"/>
        <v>Isi Rekomendasi</v>
      </c>
    </row>
    <row r="248" spans="1:15" x14ac:dyDescent="0.25">
      <c r="A248" s="35"/>
      <c r="B248" s="35" t="s">
        <v>525</v>
      </c>
      <c r="C248" s="35" t="s">
        <v>307</v>
      </c>
      <c r="D248" s="36">
        <v>0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7">
        <f t="shared" si="21"/>
        <v>0</v>
      </c>
      <c r="K248" s="37">
        <f t="shared" si="22"/>
        <v>0</v>
      </c>
      <c r="L248" s="38" t="e">
        <v>#DIV/0!</v>
      </c>
      <c r="M248" s="39">
        <v>0</v>
      </c>
      <c r="N248" s="35" t="str">
        <f t="shared" si="23"/>
        <v>Kurang</v>
      </c>
      <c r="O248" s="35" t="str">
        <f t="shared" si="24"/>
        <v>Isi Rekomendasi</v>
      </c>
    </row>
    <row r="249" spans="1:15" x14ac:dyDescent="0.25">
      <c r="A249" s="35"/>
      <c r="B249" s="35" t="s">
        <v>526</v>
      </c>
      <c r="C249" s="35" t="s">
        <v>307</v>
      </c>
      <c r="D249" s="36">
        <v>0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7">
        <f t="shared" si="21"/>
        <v>0</v>
      </c>
      <c r="K249" s="37">
        <f t="shared" si="22"/>
        <v>0</v>
      </c>
      <c r="L249" s="38" t="e">
        <v>#DIV/0!</v>
      </c>
      <c r="M249" s="39">
        <v>0</v>
      </c>
      <c r="N249" s="35" t="str">
        <f t="shared" si="23"/>
        <v>Kurang</v>
      </c>
      <c r="O249" s="35" t="str">
        <f t="shared" si="24"/>
        <v>Isi Rekomendasi</v>
      </c>
    </row>
    <row r="250" spans="1:15" x14ac:dyDescent="0.25">
      <c r="A250" s="35"/>
      <c r="B250" s="35" t="s">
        <v>527</v>
      </c>
      <c r="C250" s="35" t="s">
        <v>307</v>
      </c>
      <c r="D250" s="36">
        <v>0</v>
      </c>
      <c r="E250" s="36">
        <v>0</v>
      </c>
      <c r="F250" s="36">
        <v>0</v>
      </c>
      <c r="G250" s="36">
        <v>0</v>
      </c>
      <c r="H250" s="36">
        <v>0</v>
      </c>
      <c r="I250" s="36">
        <v>0</v>
      </c>
      <c r="J250" s="37">
        <f t="shared" si="21"/>
        <v>0</v>
      </c>
      <c r="K250" s="37">
        <f t="shared" si="22"/>
        <v>0</v>
      </c>
      <c r="L250" s="38" t="e">
        <v>#DIV/0!</v>
      </c>
      <c r="M250" s="39">
        <v>0</v>
      </c>
      <c r="N250" s="35" t="str">
        <f t="shared" si="23"/>
        <v>Kurang</v>
      </c>
      <c r="O250" s="35" t="str">
        <f t="shared" si="24"/>
        <v>Isi Rekomendasi</v>
      </c>
    </row>
    <row r="251" spans="1:15" x14ac:dyDescent="0.25">
      <c r="A251" s="35"/>
      <c r="B251" s="35" t="s">
        <v>528</v>
      </c>
      <c r="C251" s="35" t="s">
        <v>307</v>
      </c>
      <c r="D251" s="36">
        <v>0</v>
      </c>
      <c r="E251" s="36">
        <v>0</v>
      </c>
      <c r="F251" s="36">
        <v>0</v>
      </c>
      <c r="G251" s="36">
        <v>0</v>
      </c>
      <c r="H251" s="36">
        <v>0</v>
      </c>
      <c r="I251" s="36">
        <v>0</v>
      </c>
      <c r="J251" s="37">
        <f t="shared" si="21"/>
        <v>0</v>
      </c>
      <c r="K251" s="37">
        <f t="shared" si="22"/>
        <v>0</v>
      </c>
      <c r="L251" s="38" t="e">
        <v>#DIV/0!</v>
      </c>
      <c r="M251" s="39">
        <v>0</v>
      </c>
      <c r="N251" s="35" t="str">
        <f t="shared" si="23"/>
        <v>Kurang</v>
      </c>
      <c r="O251" s="35" t="str">
        <f t="shared" si="24"/>
        <v>Isi Rekomendasi</v>
      </c>
    </row>
    <row r="252" spans="1:15" x14ac:dyDescent="0.25">
      <c r="A252" s="35"/>
      <c r="B252" s="35" t="s">
        <v>529</v>
      </c>
      <c r="C252" s="35" t="s">
        <v>307</v>
      </c>
      <c r="D252" s="36">
        <v>0</v>
      </c>
      <c r="E252" s="36">
        <v>0</v>
      </c>
      <c r="F252" s="36">
        <v>0</v>
      </c>
      <c r="G252" s="36">
        <v>0</v>
      </c>
      <c r="H252" s="36">
        <v>0</v>
      </c>
      <c r="I252" s="36">
        <v>0</v>
      </c>
      <c r="J252" s="37">
        <f t="shared" si="21"/>
        <v>0</v>
      </c>
      <c r="K252" s="37">
        <f t="shared" si="22"/>
        <v>0</v>
      </c>
      <c r="L252" s="38" t="e">
        <v>#DIV/0!</v>
      </c>
      <c r="M252" s="39">
        <v>0</v>
      </c>
      <c r="N252" s="35" t="str">
        <f t="shared" si="23"/>
        <v>Kurang</v>
      </c>
      <c r="O252" s="35" t="str">
        <f t="shared" si="24"/>
        <v>Isi Rekomendasi</v>
      </c>
    </row>
    <row r="253" spans="1:15" x14ac:dyDescent="0.25">
      <c r="A253" s="35"/>
      <c r="B253" s="35" t="s">
        <v>530</v>
      </c>
      <c r="C253" s="35" t="s">
        <v>307</v>
      </c>
      <c r="D253" s="36">
        <v>0</v>
      </c>
      <c r="E253" s="36">
        <v>0</v>
      </c>
      <c r="F253" s="36">
        <v>0</v>
      </c>
      <c r="G253" s="36">
        <v>0</v>
      </c>
      <c r="H253" s="36">
        <v>0</v>
      </c>
      <c r="I253" s="36">
        <v>0</v>
      </c>
      <c r="J253" s="37">
        <f t="shared" si="21"/>
        <v>0</v>
      </c>
      <c r="K253" s="37">
        <f t="shared" si="22"/>
        <v>0</v>
      </c>
      <c r="L253" s="38" t="e">
        <v>#DIV/0!</v>
      </c>
      <c r="M253" s="39">
        <v>0</v>
      </c>
      <c r="N253" s="35" t="str">
        <f t="shared" si="23"/>
        <v>Kurang</v>
      </c>
      <c r="O253" s="35" t="str">
        <f t="shared" si="24"/>
        <v>Isi Rekomendasi</v>
      </c>
    </row>
    <row r="254" spans="1:15" x14ac:dyDescent="0.25">
      <c r="A254" s="35"/>
      <c r="B254" s="35" t="s">
        <v>357</v>
      </c>
      <c r="C254" s="35" t="s">
        <v>307</v>
      </c>
      <c r="D254" s="36">
        <v>0</v>
      </c>
      <c r="E254" s="36">
        <v>0</v>
      </c>
      <c r="F254" s="36">
        <v>1</v>
      </c>
      <c r="G254" s="36">
        <v>0</v>
      </c>
      <c r="H254" s="36">
        <v>0</v>
      </c>
      <c r="I254" s="36">
        <v>0</v>
      </c>
      <c r="J254" s="37">
        <f t="shared" si="21"/>
        <v>1</v>
      </c>
      <c r="K254" s="37">
        <f t="shared" si="22"/>
        <v>0</v>
      </c>
      <c r="L254" s="38">
        <f>K254/J254</f>
        <v>0</v>
      </c>
      <c r="M254" s="39" t="str">
        <f t="shared" si="25"/>
        <v>0,5</v>
      </c>
      <c r="N254" s="35" t="str">
        <f t="shared" si="23"/>
        <v>Cukup</v>
      </c>
      <c r="O254" s="35" t="str">
        <f t="shared" si="24"/>
        <v>Terlampir Pada LHE ZI</v>
      </c>
    </row>
    <row r="255" spans="1:15" x14ac:dyDescent="0.25">
      <c r="A255" s="35"/>
      <c r="B255" s="35" t="s">
        <v>106</v>
      </c>
      <c r="C255" s="35" t="s">
        <v>307</v>
      </c>
      <c r="D255" s="36">
        <v>1</v>
      </c>
      <c r="E255" s="36">
        <v>0</v>
      </c>
      <c r="F255" s="36">
        <v>0</v>
      </c>
      <c r="G255" s="36">
        <v>0</v>
      </c>
      <c r="H255" s="36">
        <v>1</v>
      </c>
      <c r="I255" s="36">
        <v>0</v>
      </c>
      <c r="J255" s="37">
        <f t="shared" si="21"/>
        <v>2</v>
      </c>
      <c r="K255" s="37">
        <f t="shared" si="22"/>
        <v>0</v>
      </c>
      <c r="L255" s="38">
        <f>K255/J255</f>
        <v>0</v>
      </c>
      <c r="M255" s="39" t="str">
        <f t="shared" si="25"/>
        <v>0,5</v>
      </c>
      <c r="N255" s="35" t="str">
        <f t="shared" si="23"/>
        <v>Cukup</v>
      </c>
      <c r="O255" s="35" t="str">
        <f t="shared" si="24"/>
        <v>Terlampir Pada LHE ZI</v>
      </c>
    </row>
    <row r="256" spans="1:15" x14ac:dyDescent="0.25">
      <c r="A256" s="35"/>
      <c r="B256" s="35" t="s">
        <v>107</v>
      </c>
      <c r="C256" s="35" t="s">
        <v>307</v>
      </c>
      <c r="D256" s="36">
        <v>0</v>
      </c>
      <c r="E256" s="36">
        <v>0</v>
      </c>
      <c r="F256" s="36">
        <v>0</v>
      </c>
      <c r="G256" s="36">
        <v>0</v>
      </c>
      <c r="H256" s="36">
        <v>1</v>
      </c>
      <c r="I256" s="36">
        <v>0</v>
      </c>
      <c r="J256" s="37">
        <f t="shared" si="21"/>
        <v>1</v>
      </c>
      <c r="K256" s="37">
        <f t="shared" si="22"/>
        <v>0</v>
      </c>
      <c r="L256" s="38">
        <f>K256/J256</f>
        <v>0</v>
      </c>
      <c r="M256" s="39" t="str">
        <f t="shared" si="25"/>
        <v>0,5</v>
      </c>
      <c r="N256" s="35" t="str">
        <f t="shared" si="23"/>
        <v>Cukup</v>
      </c>
      <c r="O256" s="35" t="str">
        <f t="shared" si="24"/>
        <v>Terlampir Pada LHE ZI</v>
      </c>
    </row>
    <row r="257" spans="1:15" x14ac:dyDescent="0.25">
      <c r="A257" s="35"/>
      <c r="B257" s="35" t="s">
        <v>531</v>
      </c>
      <c r="C257" s="35" t="s">
        <v>307</v>
      </c>
      <c r="D257" s="36">
        <v>0</v>
      </c>
      <c r="E257" s="36">
        <v>0</v>
      </c>
      <c r="F257" s="36">
        <v>0</v>
      </c>
      <c r="G257" s="36">
        <v>0</v>
      </c>
      <c r="H257" s="36">
        <v>0</v>
      </c>
      <c r="I257" s="36">
        <v>0</v>
      </c>
      <c r="J257" s="37">
        <f t="shared" si="21"/>
        <v>0</v>
      </c>
      <c r="K257" s="37">
        <f t="shared" si="22"/>
        <v>0</v>
      </c>
      <c r="L257" s="38" t="e">
        <v>#DIV/0!</v>
      </c>
      <c r="M257" s="39">
        <v>0</v>
      </c>
      <c r="N257" s="35" t="str">
        <f t="shared" si="23"/>
        <v>Kurang</v>
      </c>
      <c r="O257" s="35" t="str">
        <f t="shared" si="24"/>
        <v>Isi Rekomendasi</v>
      </c>
    </row>
    <row r="258" spans="1:15" x14ac:dyDescent="0.25">
      <c r="A258" s="35"/>
      <c r="B258" s="35" t="s">
        <v>532</v>
      </c>
      <c r="C258" s="35" t="s">
        <v>307</v>
      </c>
      <c r="D258" s="36">
        <v>0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7">
        <f t="shared" si="21"/>
        <v>0</v>
      </c>
      <c r="K258" s="37">
        <f t="shared" si="22"/>
        <v>0</v>
      </c>
      <c r="L258" s="38" t="e">
        <v>#DIV/0!</v>
      </c>
      <c r="M258" s="39">
        <v>0</v>
      </c>
      <c r="N258" s="35" t="str">
        <f t="shared" si="23"/>
        <v>Kurang</v>
      </c>
      <c r="O258" s="35" t="str">
        <f t="shared" si="24"/>
        <v>Isi Rekomendasi</v>
      </c>
    </row>
    <row r="259" spans="1:15" x14ac:dyDescent="0.25">
      <c r="A259" s="35"/>
      <c r="B259" s="35" t="s">
        <v>533</v>
      </c>
      <c r="C259" s="35" t="s">
        <v>307</v>
      </c>
      <c r="D259" s="36">
        <v>0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7">
        <f t="shared" si="21"/>
        <v>0</v>
      </c>
      <c r="K259" s="37">
        <f t="shared" si="22"/>
        <v>0</v>
      </c>
      <c r="L259" s="38" t="e">
        <v>#DIV/0!</v>
      </c>
      <c r="M259" s="39">
        <v>0</v>
      </c>
      <c r="N259" s="35" t="str">
        <f t="shared" si="23"/>
        <v>Kurang</v>
      </c>
      <c r="O259" s="35" t="str">
        <f t="shared" si="24"/>
        <v>Isi Rekomendasi</v>
      </c>
    </row>
    <row r="260" spans="1:15" x14ac:dyDescent="0.25">
      <c r="A260" s="35"/>
      <c r="B260" s="35" t="s">
        <v>534</v>
      </c>
      <c r="C260" s="35" t="s">
        <v>307</v>
      </c>
      <c r="D260" s="36">
        <v>0</v>
      </c>
      <c r="E260" s="36">
        <v>0</v>
      </c>
      <c r="F260" s="36">
        <v>0</v>
      </c>
      <c r="G260" s="36">
        <v>0</v>
      </c>
      <c r="H260" s="36">
        <v>0</v>
      </c>
      <c r="I260" s="36">
        <v>0</v>
      </c>
      <c r="J260" s="37">
        <f t="shared" ref="J260:J323" si="26">D260+F260+H260</f>
        <v>0</v>
      </c>
      <c r="K260" s="37">
        <f t="shared" ref="K260:K323" si="27">E260+G260+I260</f>
        <v>0</v>
      </c>
      <c r="L260" s="38" t="e">
        <v>#DIV/0!</v>
      </c>
      <c r="M260" s="39">
        <v>0</v>
      </c>
      <c r="N260" s="35" t="str">
        <f t="shared" ref="N260:N323" si="28">_xlfn.IFS(AND(C260="KL",M260="3"),"Sangat Memuaskan",AND(C260="Pemda",M260="3,5"),"Sangat Memuaskan",AND(C260="KL",M260="2"),"Memuaskan",AND(C260="Pemda",M260="2,5"),"Memuaskan",AND(C260="KL",M260="1"),"Sangat Baik",AND(C260="Pemda",M260="1,5"),"Sangat Baik",AND(C260="KL",M260="0,75"),"Baik",AND(C260="Pemda",M260="0,75"),"Baik",AND(C260="KL",M260="0,5"),"Cukup",AND(C260="Pemda",M260="0,5"),"Cukup",AND(C260="KL",M260&lt;0.5),"Kurang",AND(C260="Pemda",M260&lt;0.5),"Kurang")</f>
        <v>Kurang</v>
      </c>
      <c r="O260" s="35" t="str">
        <f t="shared" ref="O260:O323" si="29">IF(N260="Kurang","Isi Rekomendasi","Terlampir Pada LHE ZI")</f>
        <v>Isi Rekomendasi</v>
      </c>
    </row>
    <row r="261" spans="1:15" x14ac:dyDescent="0.25">
      <c r="A261" s="35"/>
      <c r="B261" s="35" t="s">
        <v>108</v>
      </c>
      <c r="C261" s="35" t="s">
        <v>307</v>
      </c>
      <c r="D261" s="36">
        <v>0</v>
      </c>
      <c r="E261" s="36">
        <v>0</v>
      </c>
      <c r="F261" s="36">
        <v>0</v>
      </c>
      <c r="G261" s="36">
        <v>0</v>
      </c>
      <c r="H261" s="36">
        <v>2</v>
      </c>
      <c r="I261" s="36">
        <v>0</v>
      </c>
      <c r="J261" s="37">
        <f t="shared" si="26"/>
        <v>2</v>
      </c>
      <c r="K261" s="37">
        <f t="shared" si="27"/>
        <v>0</v>
      </c>
      <c r="L261" s="38">
        <f>K261/J261</f>
        <v>0</v>
      </c>
      <c r="M261" s="39" t="str">
        <f t="shared" ref="M261:M322" si="30">IF(AND(C261="KL",L261&gt;75%),"3",IF(AND(C261="KL",L261&gt;40%),"2",IF(AND(C261="KL",L261&gt;10%),"1",IF(AND(C261="KL",L261&gt;0.1%),"0,75",IF(AND(C261="KL",L261&gt;=0%),"0,5",IF(AND(C261="Pemda",L261&gt;75%),"3,5",IF(AND(C261="Pemda",L261&gt;40%),"2,5",IF(AND(C261="Pemda",L261&gt;10%),"1,5",IF(AND(C261="Pemda",L261&gt;0.1%),"0,75",IF(AND(C261="Pemda",L261&gt;=0%),"0,5","0"))))))))))</f>
        <v>0,5</v>
      </c>
      <c r="N261" s="35" t="str">
        <f t="shared" si="28"/>
        <v>Cukup</v>
      </c>
      <c r="O261" s="35" t="str">
        <f t="shared" si="29"/>
        <v>Terlampir Pada LHE ZI</v>
      </c>
    </row>
    <row r="262" spans="1:15" x14ac:dyDescent="0.25">
      <c r="A262" s="35"/>
      <c r="B262" s="35" t="s">
        <v>109</v>
      </c>
      <c r="C262" s="35" t="s">
        <v>307</v>
      </c>
      <c r="D262" s="36">
        <v>0</v>
      </c>
      <c r="E262" s="36">
        <v>0</v>
      </c>
      <c r="F262" s="36">
        <v>0</v>
      </c>
      <c r="G262" s="36">
        <v>0</v>
      </c>
      <c r="H262" s="36">
        <v>3</v>
      </c>
      <c r="I262" s="36">
        <v>0</v>
      </c>
      <c r="J262" s="37">
        <f t="shared" si="26"/>
        <v>3</v>
      </c>
      <c r="K262" s="37">
        <f t="shared" si="27"/>
        <v>0</v>
      </c>
      <c r="L262" s="38">
        <f>K262/J262</f>
        <v>0</v>
      </c>
      <c r="M262" s="39" t="str">
        <f t="shared" si="30"/>
        <v>0,5</v>
      </c>
      <c r="N262" s="35" t="str">
        <f t="shared" si="28"/>
        <v>Cukup</v>
      </c>
      <c r="O262" s="35" t="str">
        <f t="shared" si="29"/>
        <v>Terlampir Pada LHE ZI</v>
      </c>
    </row>
    <row r="263" spans="1:15" x14ac:dyDescent="0.25">
      <c r="A263" s="35"/>
      <c r="B263" s="35" t="s">
        <v>358</v>
      </c>
      <c r="C263" s="35" t="s">
        <v>307</v>
      </c>
      <c r="D263" s="36">
        <v>1</v>
      </c>
      <c r="E263" s="36">
        <v>0</v>
      </c>
      <c r="F263" s="36">
        <v>0</v>
      </c>
      <c r="G263" s="36">
        <v>0</v>
      </c>
      <c r="H263" s="36">
        <v>0</v>
      </c>
      <c r="I263" s="36">
        <v>0</v>
      </c>
      <c r="J263" s="37">
        <f t="shared" si="26"/>
        <v>1</v>
      </c>
      <c r="K263" s="37">
        <f t="shared" si="27"/>
        <v>0</v>
      </c>
      <c r="L263" s="38">
        <f>K263/J263</f>
        <v>0</v>
      </c>
      <c r="M263" s="39" t="str">
        <f t="shared" si="30"/>
        <v>0,5</v>
      </c>
      <c r="N263" s="35" t="str">
        <f t="shared" si="28"/>
        <v>Cukup</v>
      </c>
      <c r="O263" s="35" t="str">
        <f t="shared" si="29"/>
        <v>Terlampir Pada LHE ZI</v>
      </c>
    </row>
    <row r="264" spans="1:15" x14ac:dyDescent="0.25">
      <c r="A264" s="35"/>
      <c r="B264" s="35" t="s">
        <v>110</v>
      </c>
      <c r="C264" s="35" t="s">
        <v>307</v>
      </c>
      <c r="D264" s="36">
        <v>0</v>
      </c>
      <c r="E264" s="36">
        <v>0</v>
      </c>
      <c r="F264" s="36">
        <v>0</v>
      </c>
      <c r="G264" s="36">
        <v>0</v>
      </c>
      <c r="H264" s="36">
        <v>3</v>
      </c>
      <c r="I264" s="36">
        <v>0</v>
      </c>
      <c r="J264" s="37">
        <f t="shared" si="26"/>
        <v>3</v>
      </c>
      <c r="K264" s="37">
        <f t="shared" si="27"/>
        <v>0</v>
      </c>
      <c r="L264" s="38">
        <f>K264/J264</f>
        <v>0</v>
      </c>
      <c r="M264" s="39" t="str">
        <f t="shared" si="30"/>
        <v>0,5</v>
      </c>
      <c r="N264" s="35" t="str">
        <f t="shared" si="28"/>
        <v>Cukup</v>
      </c>
      <c r="O264" s="35" t="str">
        <f t="shared" si="29"/>
        <v>Terlampir Pada LHE ZI</v>
      </c>
    </row>
    <row r="265" spans="1:15" x14ac:dyDescent="0.25">
      <c r="A265" s="35"/>
      <c r="B265" s="35" t="s">
        <v>111</v>
      </c>
      <c r="C265" s="35" t="s">
        <v>307</v>
      </c>
      <c r="D265" s="36">
        <v>0</v>
      </c>
      <c r="E265" s="36">
        <v>0</v>
      </c>
      <c r="F265" s="36">
        <v>0</v>
      </c>
      <c r="G265" s="36">
        <v>0</v>
      </c>
      <c r="H265" s="36">
        <v>2</v>
      </c>
      <c r="I265" s="36">
        <v>0</v>
      </c>
      <c r="J265" s="37">
        <f t="shared" si="26"/>
        <v>2</v>
      </c>
      <c r="K265" s="37">
        <f t="shared" si="27"/>
        <v>0</v>
      </c>
      <c r="L265" s="38">
        <f>K265/J265</f>
        <v>0</v>
      </c>
      <c r="M265" s="39" t="str">
        <f t="shared" si="30"/>
        <v>0,5</v>
      </c>
      <c r="N265" s="35" t="str">
        <f t="shared" si="28"/>
        <v>Cukup</v>
      </c>
      <c r="O265" s="35" t="str">
        <f t="shared" si="29"/>
        <v>Terlampir Pada LHE ZI</v>
      </c>
    </row>
    <row r="266" spans="1:15" x14ac:dyDescent="0.25">
      <c r="A266" s="35"/>
      <c r="B266" s="35" t="s">
        <v>535</v>
      </c>
      <c r="C266" s="35" t="s">
        <v>307</v>
      </c>
      <c r="D266" s="36">
        <v>0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37">
        <f t="shared" si="26"/>
        <v>0</v>
      </c>
      <c r="K266" s="37">
        <f t="shared" si="27"/>
        <v>0</v>
      </c>
      <c r="L266" s="38" t="e">
        <v>#DIV/0!</v>
      </c>
      <c r="M266" s="39">
        <v>0</v>
      </c>
      <c r="N266" s="35" t="str">
        <f t="shared" si="28"/>
        <v>Kurang</v>
      </c>
      <c r="O266" s="35" t="str">
        <f t="shared" si="29"/>
        <v>Isi Rekomendasi</v>
      </c>
    </row>
    <row r="267" spans="1:15" x14ac:dyDescent="0.25">
      <c r="A267" s="35"/>
      <c r="B267" s="35" t="s">
        <v>536</v>
      </c>
      <c r="C267" s="35" t="s">
        <v>307</v>
      </c>
      <c r="D267" s="36">
        <v>0</v>
      </c>
      <c r="E267" s="36">
        <v>0</v>
      </c>
      <c r="F267" s="36">
        <v>0</v>
      </c>
      <c r="G267" s="36">
        <v>0</v>
      </c>
      <c r="H267" s="36">
        <v>0</v>
      </c>
      <c r="I267" s="36">
        <v>0</v>
      </c>
      <c r="J267" s="37">
        <f t="shared" si="26"/>
        <v>0</v>
      </c>
      <c r="K267" s="37">
        <f t="shared" si="27"/>
        <v>0</v>
      </c>
      <c r="L267" s="38" t="e">
        <v>#DIV/0!</v>
      </c>
      <c r="M267" s="39">
        <v>0</v>
      </c>
      <c r="N267" s="35" t="str">
        <f t="shared" si="28"/>
        <v>Kurang</v>
      </c>
      <c r="O267" s="35" t="str">
        <f t="shared" si="29"/>
        <v>Isi Rekomendasi</v>
      </c>
    </row>
    <row r="268" spans="1:15" x14ac:dyDescent="0.25">
      <c r="A268" s="35"/>
      <c r="B268" s="35" t="s">
        <v>112</v>
      </c>
      <c r="C268" s="35" t="s">
        <v>307</v>
      </c>
      <c r="D268" s="36">
        <v>0</v>
      </c>
      <c r="E268" s="36">
        <v>0</v>
      </c>
      <c r="F268" s="36">
        <v>3</v>
      </c>
      <c r="G268" s="36">
        <v>0</v>
      </c>
      <c r="H268" s="36">
        <v>2</v>
      </c>
      <c r="I268" s="36">
        <v>0</v>
      </c>
      <c r="J268" s="37">
        <f t="shared" si="26"/>
        <v>5</v>
      </c>
      <c r="K268" s="37">
        <f t="shared" si="27"/>
        <v>0</v>
      </c>
      <c r="L268" s="38">
        <f>K268/J268</f>
        <v>0</v>
      </c>
      <c r="M268" s="39" t="str">
        <f t="shared" si="30"/>
        <v>0,5</v>
      </c>
      <c r="N268" s="35" t="str">
        <f t="shared" si="28"/>
        <v>Cukup</v>
      </c>
      <c r="O268" s="35" t="str">
        <f t="shared" si="29"/>
        <v>Terlampir Pada LHE ZI</v>
      </c>
    </row>
    <row r="269" spans="1:15" x14ac:dyDescent="0.25">
      <c r="A269" s="35"/>
      <c r="B269" s="35" t="s">
        <v>391</v>
      </c>
      <c r="C269" s="35" t="s">
        <v>307</v>
      </c>
      <c r="D269" s="36">
        <v>0</v>
      </c>
      <c r="E269" s="36">
        <v>0</v>
      </c>
      <c r="F269" s="36">
        <v>2</v>
      </c>
      <c r="G269" s="36">
        <v>0</v>
      </c>
      <c r="H269" s="36">
        <v>0</v>
      </c>
      <c r="I269" s="36">
        <v>0</v>
      </c>
      <c r="J269" s="37">
        <f t="shared" si="26"/>
        <v>2</v>
      </c>
      <c r="K269" s="37">
        <f t="shared" si="27"/>
        <v>0</v>
      </c>
      <c r="L269" s="38">
        <f>K269/J269</f>
        <v>0</v>
      </c>
      <c r="M269" s="39" t="str">
        <f t="shared" si="30"/>
        <v>0,5</v>
      </c>
      <c r="N269" s="35" t="str">
        <f t="shared" si="28"/>
        <v>Cukup</v>
      </c>
      <c r="O269" s="35" t="str">
        <f t="shared" si="29"/>
        <v>Terlampir Pada LHE ZI</v>
      </c>
    </row>
    <row r="270" spans="1:15" x14ac:dyDescent="0.25">
      <c r="A270" s="35"/>
      <c r="B270" s="35" t="s">
        <v>537</v>
      </c>
      <c r="C270" s="35" t="s">
        <v>307</v>
      </c>
      <c r="D270" s="36">
        <v>0</v>
      </c>
      <c r="E270" s="36">
        <v>0</v>
      </c>
      <c r="F270" s="36">
        <v>0</v>
      </c>
      <c r="G270" s="36">
        <v>0</v>
      </c>
      <c r="H270" s="36">
        <v>0</v>
      </c>
      <c r="I270" s="36">
        <v>0</v>
      </c>
      <c r="J270" s="37">
        <f t="shared" si="26"/>
        <v>0</v>
      </c>
      <c r="K270" s="37">
        <f t="shared" si="27"/>
        <v>0</v>
      </c>
      <c r="L270" s="38" t="e">
        <v>#DIV/0!</v>
      </c>
      <c r="M270" s="39">
        <v>0</v>
      </c>
      <c r="N270" s="35" t="str">
        <f t="shared" si="28"/>
        <v>Kurang</v>
      </c>
      <c r="O270" s="35" t="str">
        <f t="shared" si="29"/>
        <v>Isi Rekomendasi</v>
      </c>
    </row>
    <row r="271" spans="1:15" x14ac:dyDescent="0.25">
      <c r="A271" s="35"/>
      <c r="B271" s="35" t="s">
        <v>538</v>
      </c>
      <c r="C271" s="35" t="s">
        <v>307</v>
      </c>
      <c r="D271" s="36">
        <v>0</v>
      </c>
      <c r="E271" s="36">
        <v>0</v>
      </c>
      <c r="F271" s="36">
        <v>0</v>
      </c>
      <c r="G271" s="36">
        <v>0</v>
      </c>
      <c r="H271" s="36">
        <v>0</v>
      </c>
      <c r="I271" s="36">
        <v>0</v>
      </c>
      <c r="J271" s="37">
        <f t="shared" si="26"/>
        <v>0</v>
      </c>
      <c r="K271" s="37">
        <f t="shared" si="27"/>
        <v>0</v>
      </c>
      <c r="L271" s="38" t="e">
        <v>#DIV/0!</v>
      </c>
      <c r="M271" s="39">
        <v>0</v>
      </c>
      <c r="N271" s="35" t="str">
        <f t="shared" si="28"/>
        <v>Kurang</v>
      </c>
      <c r="O271" s="35" t="str">
        <f t="shared" si="29"/>
        <v>Isi Rekomendasi</v>
      </c>
    </row>
    <row r="272" spans="1:15" x14ac:dyDescent="0.25">
      <c r="A272" s="35"/>
      <c r="B272" s="35" t="s">
        <v>367</v>
      </c>
      <c r="C272" s="35" t="s">
        <v>307</v>
      </c>
      <c r="D272" s="36">
        <v>0</v>
      </c>
      <c r="E272" s="36">
        <v>0</v>
      </c>
      <c r="F272" s="36">
        <v>0</v>
      </c>
      <c r="G272" s="36">
        <v>0</v>
      </c>
      <c r="H272" s="36">
        <v>0</v>
      </c>
      <c r="I272" s="36">
        <v>0</v>
      </c>
      <c r="J272" s="37">
        <f t="shared" si="26"/>
        <v>0</v>
      </c>
      <c r="K272" s="37">
        <f t="shared" si="27"/>
        <v>0</v>
      </c>
      <c r="L272" s="38" t="e">
        <v>#DIV/0!</v>
      </c>
      <c r="M272" s="39">
        <v>0</v>
      </c>
      <c r="N272" s="35" t="str">
        <f t="shared" si="28"/>
        <v>Kurang</v>
      </c>
      <c r="O272" s="35" t="str">
        <f t="shared" si="29"/>
        <v>Isi Rekomendasi</v>
      </c>
    </row>
    <row r="273" spans="1:15" x14ac:dyDescent="0.25">
      <c r="A273" s="35"/>
      <c r="B273" s="35" t="s">
        <v>539</v>
      </c>
      <c r="C273" s="35" t="s">
        <v>307</v>
      </c>
      <c r="D273" s="36">
        <v>0</v>
      </c>
      <c r="E273" s="36">
        <v>0</v>
      </c>
      <c r="F273" s="36">
        <v>0</v>
      </c>
      <c r="G273" s="36">
        <v>0</v>
      </c>
      <c r="H273" s="36">
        <v>0</v>
      </c>
      <c r="I273" s="36">
        <v>0</v>
      </c>
      <c r="J273" s="37">
        <f t="shared" si="26"/>
        <v>0</v>
      </c>
      <c r="K273" s="37">
        <f t="shared" si="27"/>
        <v>0</v>
      </c>
      <c r="L273" s="38" t="e">
        <v>#DIV/0!</v>
      </c>
      <c r="M273" s="39">
        <v>0</v>
      </c>
      <c r="N273" s="35" t="str">
        <f t="shared" si="28"/>
        <v>Kurang</v>
      </c>
      <c r="O273" s="35" t="str">
        <f t="shared" si="29"/>
        <v>Isi Rekomendasi</v>
      </c>
    </row>
    <row r="274" spans="1:15" x14ac:dyDescent="0.25">
      <c r="A274" s="35"/>
      <c r="B274" s="35" t="s">
        <v>540</v>
      </c>
      <c r="C274" s="35" t="s">
        <v>307</v>
      </c>
      <c r="D274" s="36">
        <v>0</v>
      </c>
      <c r="E274" s="36">
        <v>0</v>
      </c>
      <c r="F274" s="36">
        <v>0</v>
      </c>
      <c r="G274" s="36">
        <v>0</v>
      </c>
      <c r="H274" s="36">
        <v>0</v>
      </c>
      <c r="I274" s="36">
        <v>0</v>
      </c>
      <c r="J274" s="37">
        <f t="shared" si="26"/>
        <v>0</v>
      </c>
      <c r="K274" s="37">
        <f t="shared" si="27"/>
        <v>0</v>
      </c>
      <c r="L274" s="38" t="e">
        <v>#DIV/0!</v>
      </c>
      <c r="M274" s="39">
        <v>0</v>
      </c>
      <c r="N274" s="35" t="str">
        <f t="shared" si="28"/>
        <v>Kurang</v>
      </c>
      <c r="O274" s="35" t="str">
        <f t="shared" si="29"/>
        <v>Isi Rekomendasi</v>
      </c>
    </row>
    <row r="275" spans="1:15" x14ac:dyDescent="0.25">
      <c r="A275" s="35"/>
      <c r="B275" s="35" t="s">
        <v>541</v>
      </c>
      <c r="C275" s="35" t="s">
        <v>307</v>
      </c>
      <c r="D275" s="36">
        <v>0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7">
        <f t="shared" si="26"/>
        <v>0</v>
      </c>
      <c r="K275" s="37">
        <f t="shared" si="27"/>
        <v>0</v>
      </c>
      <c r="L275" s="38" t="e">
        <v>#DIV/0!</v>
      </c>
      <c r="M275" s="39">
        <v>0</v>
      </c>
      <c r="N275" s="35" t="str">
        <f t="shared" si="28"/>
        <v>Kurang</v>
      </c>
      <c r="O275" s="35" t="str">
        <f t="shared" si="29"/>
        <v>Isi Rekomendasi</v>
      </c>
    </row>
    <row r="276" spans="1:15" x14ac:dyDescent="0.25">
      <c r="A276" s="35"/>
      <c r="B276" s="35" t="s">
        <v>542</v>
      </c>
      <c r="C276" s="35" t="s">
        <v>307</v>
      </c>
      <c r="D276" s="36">
        <v>0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7">
        <f t="shared" si="26"/>
        <v>0</v>
      </c>
      <c r="K276" s="37">
        <f t="shared" si="27"/>
        <v>0</v>
      </c>
      <c r="L276" s="38" t="e">
        <v>#DIV/0!</v>
      </c>
      <c r="M276" s="39">
        <v>0</v>
      </c>
      <c r="N276" s="35" t="str">
        <f t="shared" si="28"/>
        <v>Kurang</v>
      </c>
      <c r="O276" s="35" t="str">
        <f t="shared" si="29"/>
        <v>Isi Rekomendasi</v>
      </c>
    </row>
    <row r="277" spans="1:15" x14ac:dyDescent="0.25">
      <c r="A277" s="35"/>
      <c r="B277" s="35" t="s">
        <v>113</v>
      </c>
      <c r="C277" s="35" t="s">
        <v>307</v>
      </c>
      <c r="D277" s="36">
        <v>0</v>
      </c>
      <c r="E277" s="36">
        <v>0</v>
      </c>
      <c r="F277" s="36">
        <v>0</v>
      </c>
      <c r="G277" s="36">
        <v>0</v>
      </c>
      <c r="H277" s="36">
        <v>4</v>
      </c>
      <c r="I277" s="36">
        <v>0</v>
      </c>
      <c r="J277" s="37">
        <f t="shared" si="26"/>
        <v>4</v>
      </c>
      <c r="K277" s="37">
        <f t="shared" si="27"/>
        <v>0</v>
      </c>
      <c r="L277" s="38">
        <f>K277/J277</f>
        <v>0</v>
      </c>
      <c r="M277" s="39" t="str">
        <f t="shared" si="30"/>
        <v>0,5</v>
      </c>
      <c r="N277" s="35" t="str">
        <f t="shared" si="28"/>
        <v>Cukup</v>
      </c>
      <c r="O277" s="35" t="str">
        <f t="shared" si="29"/>
        <v>Terlampir Pada LHE ZI</v>
      </c>
    </row>
    <row r="278" spans="1:15" x14ac:dyDescent="0.25">
      <c r="A278" s="35"/>
      <c r="B278" s="35" t="s">
        <v>543</v>
      </c>
      <c r="C278" s="35" t="s">
        <v>307</v>
      </c>
      <c r="D278" s="36">
        <v>0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7">
        <f t="shared" si="26"/>
        <v>0</v>
      </c>
      <c r="K278" s="37">
        <f t="shared" si="27"/>
        <v>0</v>
      </c>
      <c r="L278" s="38" t="e">
        <v>#DIV/0!</v>
      </c>
      <c r="M278" s="39">
        <v>0</v>
      </c>
      <c r="N278" s="35" t="str">
        <f t="shared" si="28"/>
        <v>Kurang</v>
      </c>
      <c r="O278" s="35" t="str">
        <f t="shared" si="29"/>
        <v>Isi Rekomendasi</v>
      </c>
    </row>
    <row r="279" spans="1:15" x14ac:dyDescent="0.25">
      <c r="A279" s="35"/>
      <c r="B279" s="35" t="s">
        <v>114</v>
      </c>
      <c r="C279" s="35" t="s">
        <v>307</v>
      </c>
      <c r="D279" s="36">
        <v>0</v>
      </c>
      <c r="E279" s="36">
        <v>0</v>
      </c>
      <c r="F279" s="36">
        <v>1</v>
      </c>
      <c r="G279" s="36">
        <v>0</v>
      </c>
      <c r="H279" s="36">
        <v>1</v>
      </c>
      <c r="I279" s="36">
        <v>0</v>
      </c>
      <c r="J279" s="37">
        <f t="shared" si="26"/>
        <v>2</v>
      </c>
      <c r="K279" s="37">
        <f t="shared" si="27"/>
        <v>0</v>
      </c>
      <c r="L279" s="38">
        <f>K279/J279</f>
        <v>0</v>
      </c>
      <c r="M279" s="39" t="str">
        <f t="shared" si="30"/>
        <v>0,5</v>
      </c>
      <c r="N279" s="35" t="str">
        <f t="shared" si="28"/>
        <v>Cukup</v>
      </c>
      <c r="O279" s="35" t="str">
        <f t="shared" si="29"/>
        <v>Terlampir Pada LHE ZI</v>
      </c>
    </row>
    <row r="280" spans="1:15" x14ac:dyDescent="0.25">
      <c r="A280" s="35"/>
      <c r="B280" s="35" t="s">
        <v>544</v>
      </c>
      <c r="C280" s="35" t="s">
        <v>307</v>
      </c>
      <c r="D280" s="36">
        <v>0</v>
      </c>
      <c r="E280" s="36">
        <v>0</v>
      </c>
      <c r="F280" s="36">
        <v>0</v>
      </c>
      <c r="G280" s="36">
        <v>0</v>
      </c>
      <c r="H280" s="36">
        <v>0</v>
      </c>
      <c r="I280" s="36">
        <v>0</v>
      </c>
      <c r="J280" s="37">
        <f t="shared" si="26"/>
        <v>0</v>
      </c>
      <c r="K280" s="37">
        <f t="shared" si="27"/>
        <v>0</v>
      </c>
      <c r="L280" s="38" t="e">
        <v>#DIV/0!</v>
      </c>
      <c r="M280" s="39">
        <v>0</v>
      </c>
      <c r="N280" s="35" t="str">
        <f t="shared" si="28"/>
        <v>Kurang</v>
      </c>
      <c r="O280" s="35" t="str">
        <f t="shared" si="29"/>
        <v>Isi Rekomendasi</v>
      </c>
    </row>
    <row r="281" spans="1:15" x14ac:dyDescent="0.25">
      <c r="A281" s="35"/>
      <c r="B281" s="35" t="s">
        <v>545</v>
      </c>
      <c r="C281" s="35" t="s">
        <v>307</v>
      </c>
      <c r="D281" s="36">
        <v>0</v>
      </c>
      <c r="E281" s="36">
        <v>0</v>
      </c>
      <c r="F281" s="36">
        <v>0</v>
      </c>
      <c r="G281" s="36">
        <v>0</v>
      </c>
      <c r="H281" s="36">
        <v>0</v>
      </c>
      <c r="I281" s="36">
        <v>0</v>
      </c>
      <c r="J281" s="37">
        <f t="shared" si="26"/>
        <v>0</v>
      </c>
      <c r="K281" s="37">
        <f t="shared" si="27"/>
        <v>0</v>
      </c>
      <c r="L281" s="38" t="e">
        <v>#DIV/0!</v>
      </c>
      <c r="M281" s="39">
        <v>0</v>
      </c>
      <c r="N281" s="35" t="str">
        <f t="shared" si="28"/>
        <v>Kurang</v>
      </c>
      <c r="O281" s="35" t="str">
        <f t="shared" si="29"/>
        <v>Isi Rekomendasi</v>
      </c>
    </row>
    <row r="282" spans="1:15" x14ac:dyDescent="0.25">
      <c r="A282" s="35"/>
      <c r="B282" s="35" t="s">
        <v>546</v>
      </c>
      <c r="C282" s="35" t="s">
        <v>307</v>
      </c>
      <c r="D282" s="36">
        <v>0</v>
      </c>
      <c r="E282" s="36">
        <v>0</v>
      </c>
      <c r="F282" s="36">
        <v>0</v>
      </c>
      <c r="G282" s="36">
        <v>0</v>
      </c>
      <c r="H282" s="36">
        <v>0</v>
      </c>
      <c r="I282" s="36">
        <v>0</v>
      </c>
      <c r="J282" s="37">
        <f t="shared" si="26"/>
        <v>0</v>
      </c>
      <c r="K282" s="37">
        <f t="shared" si="27"/>
        <v>0</v>
      </c>
      <c r="L282" s="38" t="e">
        <v>#DIV/0!</v>
      </c>
      <c r="M282" s="39">
        <v>0</v>
      </c>
      <c r="N282" s="35" t="str">
        <f t="shared" si="28"/>
        <v>Kurang</v>
      </c>
      <c r="O282" s="35" t="str">
        <f t="shared" si="29"/>
        <v>Isi Rekomendasi</v>
      </c>
    </row>
    <row r="283" spans="1:15" x14ac:dyDescent="0.25">
      <c r="A283" s="35"/>
      <c r="B283" s="35" t="s">
        <v>547</v>
      </c>
      <c r="C283" s="35" t="s">
        <v>307</v>
      </c>
      <c r="D283" s="36">
        <v>0</v>
      </c>
      <c r="E283" s="36">
        <v>0</v>
      </c>
      <c r="F283" s="36">
        <v>0</v>
      </c>
      <c r="G283" s="36">
        <v>0</v>
      </c>
      <c r="H283" s="36">
        <v>0</v>
      </c>
      <c r="I283" s="36">
        <v>0</v>
      </c>
      <c r="J283" s="37">
        <f t="shared" si="26"/>
        <v>0</v>
      </c>
      <c r="K283" s="37">
        <f t="shared" si="27"/>
        <v>0</v>
      </c>
      <c r="L283" s="38" t="e">
        <v>#DIV/0!</v>
      </c>
      <c r="M283" s="39">
        <v>0</v>
      </c>
      <c r="N283" s="35" t="str">
        <f t="shared" si="28"/>
        <v>Kurang</v>
      </c>
      <c r="O283" s="35" t="str">
        <f t="shared" si="29"/>
        <v>Isi Rekomendasi</v>
      </c>
    </row>
    <row r="284" spans="1:15" x14ac:dyDescent="0.25">
      <c r="A284" s="35"/>
      <c r="B284" s="35" t="s">
        <v>548</v>
      </c>
      <c r="C284" s="35" t="s">
        <v>307</v>
      </c>
      <c r="D284" s="36">
        <v>0</v>
      </c>
      <c r="E284" s="36">
        <v>0</v>
      </c>
      <c r="F284" s="36">
        <v>0</v>
      </c>
      <c r="G284" s="36">
        <v>0</v>
      </c>
      <c r="H284" s="36">
        <v>0</v>
      </c>
      <c r="I284" s="36">
        <v>0</v>
      </c>
      <c r="J284" s="37">
        <f t="shared" si="26"/>
        <v>0</v>
      </c>
      <c r="K284" s="37">
        <f t="shared" si="27"/>
        <v>0</v>
      </c>
      <c r="L284" s="38" t="e">
        <v>#DIV/0!</v>
      </c>
      <c r="M284" s="39">
        <v>0</v>
      </c>
      <c r="N284" s="35" t="str">
        <f t="shared" si="28"/>
        <v>Kurang</v>
      </c>
      <c r="O284" s="35" t="str">
        <f t="shared" si="29"/>
        <v>Isi Rekomendasi</v>
      </c>
    </row>
    <row r="285" spans="1:15" x14ac:dyDescent="0.25">
      <c r="A285" s="35"/>
      <c r="B285" s="35" t="s">
        <v>549</v>
      </c>
      <c r="C285" s="35" t="s">
        <v>307</v>
      </c>
      <c r="D285" s="36">
        <v>0</v>
      </c>
      <c r="E285" s="36">
        <v>0</v>
      </c>
      <c r="F285" s="36">
        <v>0</v>
      </c>
      <c r="G285" s="36">
        <v>0</v>
      </c>
      <c r="H285" s="36">
        <v>0</v>
      </c>
      <c r="I285" s="36">
        <v>0</v>
      </c>
      <c r="J285" s="37">
        <f t="shared" si="26"/>
        <v>0</v>
      </c>
      <c r="K285" s="37">
        <f t="shared" si="27"/>
        <v>0</v>
      </c>
      <c r="L285" s="38" t="e">
        <v>#DIV/0!</v>
      </c>
      <c r="M285" s="39">
        <v>0</v>
      </c>
      <c r="N285" s="35" t="str">
        <f t="shared" si="28"/>
        <v>Kurang</v>
      </c>
      <c r="O285" s="35" t="str">
        <f t="shared" si="29"/>
        <v>Isi Rekomendasi</v>
      </c>
    </row>
    <row r="286" spans="1:15" x14ac:dyDescent="0.25">
      <c r="A286" s="35"/>
      <c r="B286" s="35" t="s">
        <v>550</v>
      </c>
      <c r="C286" s="35" t="s">
        <v>307</v>
      </c>
      <c r="D286" s="36">
        <v>0</v>
      </c>
      <c r="E286" s="36">
        <v>0</v>
      </c>
      <c r="F286" s="36">
        <v>0</v>
      </c>
      <c r="G286" s="36">
        <v>0</v>
      </c>
      <c r="H286" s="36">
        <v>0</v>
      </c>
      <c r="I286" s="36">
        <v>0</v>
      </c>
      <c r="J286" s="37">
        <f t="shared" si="26"/>
        <v>0</v>
      </c>
      <c r="K286" s="37">
        <f t="shared" si="27"/>
        <v>0</v>
      </c>
      <c r="L286" s="38" t="e">
        <v>#DIV/0!</v>
      </c>
      <c r="M286" s="39">
        <v>0</v>
      </c>
      <c r="N286" s="35" t="str">
        <f t="shared" si="28"/>
        <v>Kurang</v>
      </c>
      <c r="O286" s="35" t="str">
        <f t="shared" si="29"/>
        <v>Isi Rekomendasi</v>
      </c>
    </row>
    <row r="287" spans="1:15" x14ac:dyDescent="0.25">
      <c r="A287" s="35"/>
      <c r="B287" s="35" t="s">
        <v>373</v>
      </c>
      <c r="C287" s="35" t="s">
        <v>307</v>
      </c>
      <c r="D287" s="36">
        <v>0</v>
      </c>
      <c r="E287" s="36">
        <v>0</v>
      </c>
      <c r="F287" s="36">
        <v>0</v>
      </c>
      <c r="G287" s="36">
        <v>0</v>
      </c>
      <c r="H287" s="36">
        <v>0</v>
      </c>
      <c r="I287" s="36">
        <v>0</v>
      </c>
      <c r="J287" s="37">
        <f t="shared" si="26"/>
        <v>0</v>
      </c>
      <c r="K287" s="37">
        <f t="shared" si="27"/>
        <v>0</v>
      </c>
      <c r="L287" s="38" t="e">
        <v>#DIV/0!</v>
      </c>
      <c r="M287" s="39">
        <v>0</v>
      </c>
      <c r="N287" s="35" t="str">
        <f t="shared" si="28"/>
        <v>Kurang</v>
      </c>
      <c r="O287" s="35" t="str">
        <f t="shared" si="29"/>
        <v>Isi Rekomendasi</v>
      </c>
    </row>
    <row r="288" spans="1:15" x14ac:dyDescent="0.25">
      <c r="A288" s="35"/>
      <c r="B288" s="35" t="s">
        <v>551</v>
      </c>
      <c r="C288" s="35" t="s">
        <v>307</v>
      </c>
      <c r="D288" s="36">
        <v>0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7">
        <f t="shared" si="26"/>
        <v>0</v>
      </c>
      <c r="K288" s="37">
        <f t="shared" si="27"/>
        <v>0</v>
      </c>
      <c r="L288" s="38" t="e">
        <v>#DIV/0!</v>
      </c>
      <c r="M288" s="39">
        <v>0</v>
      </c>
      <c r="N288" s="35" t="str">
        <f t="shared" si="28"/>
        <v>Kurang</v>
      </c>
      <c r="O288" s="35" t="str">
        <f t="shared" si="29"/>
        <v>Isi Rekomendasi</v>
      </c>
    </row>
    <row r="289" spans="1:15" x14ac:dyDescent="0.25">
      <c r="A289" s="35"/>
      <c r="B289" s="35" t="s">
        <v>552</v>
      </c>
      <c r="C289" s="35" t="s">
        <v>307</v>
      </c>
      <c r="D289" s="36">
        <v>0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7">
        <f t="shared" si="26"/>
        <v>0</v>
      </c>
      <c r="K289" s="37">
        <f t="shared" si="27"/>
        <v>0</v>
      </c>
      <c r="L289" s="38" t="e">
        <v>#DIV/0!</v>
      </c>
      <c r="M289" s="39">
        <v>0</v>
      </c>
      <c r="N289" s="35" t="str">
        <f t="shared" si="28"/>
        <v>Kurang</v>
      </c>
      <c r="O289" s="35" t="str">
        <f t="shared" si="29"/>
        <v>Isi Rekomendasi</v>
      </c>
    </row>
    <row r="290" spans="1:15" x14ac:dyDescent="0.25">
      <c r="A290" s="35"/>
      <c r="B290" s="35" t="s">
        <v>115</v>
      </c>
      <c r="C290" s="35" t="s">
        <v>307</v>
      </c>
      <c r="D290" s="36">
        <v>0</v>
      </c>
      <c r="E290" s="36">
        <v>0</v>
      </c>
      <c r="F290" s="36">
        <v>0</v>
      </c>
      <c r="G290" s="36">
        <v>0</v>
      </c>
      <c r="H290" s="36">
        <v>1</v>
      </c>
      <c r="I290" s="36">
        <v>0</v>
      </c>
      <c r="J290" s="37">
        <f t="shared" si="26"/>
        <v>1</v>
      </c>
      <c r="K290" s="37">
        <f t="shared" si="27"/>
        <v>0</v>
      </c>
      <c r="L290" s="38">
        <f>K290/J290</f>
        <v>0</v>
      </c>
      <c r="M290" s="39" t="str">
        <f t="shared" si="30"/>
        <v>0,5</v>
      </c>
      <c r="N290" s="35" t="str">
        <f t="shared" si="28"/>
        <v>Cukup</v>
      </c>
      <c r="O290" s="35" t="str">
        <f t="shared" si="29"/>
        <v>Terlampir Pada LHE ZI</v>
      </c>
    </row>
    <row r="291" spans="1:15" x14ac:dyDescent="0.25">
      <c r="A291" s="35"/>
      <c r="B291" s="35" t="s">
        <v>116</v>
      </c>
      <c r="C291" s="35" t="s">
        <v>307</v>
      </c>
      <c r="D291" s="36">
        <v>0</v>
      </c>
      <c r="E291" s="36">
        <v>0</v>
      </c>
      <c r="F291" s="36">
        <v>0</v>
      </c>
      <c r="G291" s="36">
        <v>0</v>
      </c>
      <c r="H291" s="36">
        <v>1</v>
      </c>
      <c r="I291" s="36">
        <v>1</v>
      </c>
      <c r="J291" s="37">
        <f t="shared" si="26"/>
        <v>1</v>
      </c>
      <c r="K291" s="37">
        <f t="shared" si="27"/>
        <v>1</v>
      </c>
      <c r="L291" s="38">
        <f>K291/J291</f>
        <v>1</v>
      </c>
      <c r="M291" s="39" t="str">
        <f t="shared" si="30"/>
        <v>3,5</v>
      </c>
      <c r="N291" s="35" t="str">
        <f t="shared" si="28"/>
        <v>Sangat Memuaskan</v>
      </c>
      <c r="O291" s="35" t="str">
        <f t="shared" si="29"/>
        <v>Terlampir Pada LHE ZI</v>
      </c>
    </row>
    <row r="292" spans="1:15" x14ac:dyDescent="0.25">
      <c r="A292" s="35"/>
      <c r="B292" s="35" t="s">
        <v>117</v>
      </c>
      <c r="C292" s="35" t="s">
        <v>307</v>
      </c>
      <c r="D292" s="36">
        <v>0</v>
      </c>
      <c r="E292" s="36">
        <v>0</v>
      </c>
      <c r="F292" s="36">
        <v>0</v>
      </c>
      <c r="G292" s="36">
        <v>0</v>
      </c>
      <c r="H292" s="36">
        <v>1</v>
      </c>
      <c r="I292" s="36">
        <v>0</v>
      </c>
      <c r="J292" s="37">
        <f t="shared" si="26"/>
        <v>1</v>
      </c>
      <c r="K292" s="37">
        <f t="shared" si="27"/>
        <v>0</v>
      </c>
      <c r="L292" s="38">
        <f>K292/J292</f>
        <v>0</v>
      </c>
      <c r="M292" s="39" t="str">
        <f t="shared" si="30"/>
        <v>0,5</v>
      </c>
      <c r="N292" s="35" t="str">
        <f t="shared" si="28"/>
        <v>Cukup</v>
      </c>
      <c r="O292" s="35" t="str">
        <f t="shared" si="29"/>
        <v>Terlampir Pada LHE ZI</v>
      </c>
    </row>
    <row r="293" spans="1:15" x14ac:dyDescent="0.25">
      <c r="A293" s="35"/>
      <c r="B293" s="35" t="s">
        <v>118</v>
      </c>
      <c r="C293" s="35" t="s">
        <v>307</v>
      </c>
      <c r="D293" s="36">
        <v>0</v>
      </c>
      <c r="E293" s="36">
        <v>0</v>
      </c>
      <c r="F293" s="36">
        <v>0</v>
      </c>
      <c r="G293" s="36">
        <v>0</v>
      </c>
      <c r="H293" s="36">
        <v>1</v>
      </c>
      <c r="I293" s="36">
        <v>0</v>
      </c>
      <c r="J293" s="37">
        <f t="shared" si="26"/>
        <v>1</v>
      </c>
      <c r="K293" s="37">
        <f t="shared" si="27"/>
        <v>0</v>
      </c>
      <c r="L293" s="38">
        <f>K293/J293</f>
        <v>0</v>
      </c>
      <c r="M293" s="39" t="str">
        <f t="shared" si="30"/>
        <v>0,5</v>
      </c>
      <c r="N293" s="35" t="str">
        <f t="shared" si="28"/>
        <v>Cukup</v>
      </c>
      <c r="O293" s="35" t="str">
        <f t="shared" si="29"/>
        <v>Terlampir Pada LHE ZI</v>
      </c>
    </row>
    <row r="294" spans="1:15" x14ac:dyDescent="0.25">
      <c r="A294" s="35"/>
      <c r="B294" s="35" t="s">
        <v>553</v>
      </c>
      <c r="C294" s="35" t="s">
        <v>307</v>
      </c>
      <c r="D294" s="36">
        <v>0</v>
      </c>
      <c r="E294" s="36">
        <v>0</v>
      </c>
      <c r="F294" s="36">
        <v>0</v>
      </c>
      <c r="G294" s="36">
        <v>0</v>
      </c>
      <c r="H294" s="36">
        <v>0</v>
      </c>
      <c r="I294" s="36">
        <v>0</v>
      </c>
      <c r="J294" s="37">
        <f t="shared" si="26"/>
        <v>0</v>
      </c>
      <c r="K294" s="37">
        <f t="shared" si="27"/>
        <v>0</v>
      </c>
      <c r="L294" s="38" t="e">
        <v>#DIV/0!</v>
      </c>
      <c r="M294" s="39">
        <v>0</v>
      </c>
      <c r="N294" s="35" t="str">
        <f t="shared" si="28"/>
        <v>Kurang</v>
      </c>
      <c r="O294" s="35" t="str">
        <f t="shared" si="29"/>
        <v>Isi Rekomendasi</v>
      </c>
    </row>
    <row r="295" spans="1:15" x14ac:dyDescent="0.25">
      <c r="A295" s="35"/>
      <c r="B295" s="35" t="s">
        <v>554</v>
      </c>
      <c r="C295" s="35" t="s">
        <v>307</v>
      </c>
      <c r="D295" s="36">
        <v>0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7">
        <f t="shared" si="26"/>
        <v>0</v>
      </c>
      <c r="K295" s="37">
        <f t="shared" si="27"/>
        <v>0</v>
      </c>
      <c r="L295" s="38" t="e">
        <v>#DIV/0!</v>
      </c>
      <c r="M295" s="39">
        <v>0</v>
      </c>
      <c r="N295" s="35" t="str">
        <f t="shared" si="28"/>
        <v>Kurang</v>
      </c>
      <c r="O295" s="35" t="str">
        <f t="shared" si="29"/>
        <v>Isi Rekomendasi</v>
      </c>
    </row>
    <row r="296" spans="1:15" x14ac:dyDescent="0.25">
      <c r="A296" s="35"/>
      <c r="B296" s="35" t="s">
        <v>555</v>
      </c>
      <c r="C296" s="35" t="s">
        <v>307</v>
      </c>
      <c r="D296" s="36">
        <v>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7">
        <f t="shared" si="26"/>
        <v>0</v>
      </c>
      <c r="K296" s="37">
        <f t="shared" si="27"/>
        <v>0</v>
      </c>
      <c r="L296" s="38" t="e">
        <v>#DIV/0!</v>
      </c>
      <c r="M296" s="39">
        <v>0</v>
      </c>
      <c r="N296" s="35" t="str">
        <f t="shared" si="28"/>
        <v>Kurang</v>
      </c>
      <c r="O296" s="35" t="str">
        <f t="shared" si="29"/>
        <v>Isi Rekomendasi</v>
      </c>
    </row>
    <row r="297" spans="1:15" x14ac:dyDescent="0.25">
      <c r="A297" s="35"/>
      <c r="B297" s="35" t="s">
        <v>556</v>
      </c>
      <c r="C297" s="35" t="s">
        <v>307</v>
      </c>
      <c r="D297" s="36">
        <v>0</v>
      </c>
      <c r="E297" s="36">
        <v>0</v>
      </c>
      <c r="F297" s="36">
        <v>0</v>
      </c>
      <c r="G297" s="36">
        <v>0</v>
      </c>
      <c r="H297" s="36">
        <v>0</v>
      </c>
      <c r="I297" s="36">
        <v>0</v>
      </c>
      <c r="J297" s="37">
        <f t="shared" si="26"/>
        <v>0</v>
      </c>
      <c r="K297" s="37">
        <f t="shared" si="27"/>
        <v>0</v>
      </c>
      <c r="L297" s="38" t="e">
        <v>#DIV/0!</v>
      </c>
      <c r="M297" s="39">
        <v>0</v>
      </c>
      <c r="N297" s="35" t="str">
        <f t="shared" si="28"/>
        <v>Kurang</v>
      </c>
      <c r="O297" s="35" t="str">
        <f t="shared" si="29"/>
        <v>Isi Rekomendasi</v>
      </c>
    </row>
    <row r="298" spans="1:15" x14ac:dyDescent="0.25">
      <c r="A298" s="35"/>
      <c r="B298" s="35" t="s">
        <v>119</v>
      </c>
      <c r="C298" s="35" t="s">
        <v>307</v>
      </c>
      <c r="D298" s="36">
        <v>0</v>
      </c>
      <c r="E298" s="36">
        <v>0</v>
      </c>
      <c r="F298" s="36">
        <v>0</v>
      </c>
      <c r="G298" s="36">
        <v>0</v>
      </c>
      <c r="H298" s="36">
        <v>1</v>
      </c>
      <c r="I298" s="36">
        <v>0</v>
      </c>
      <c r="J298" s="37">
        <f t="shared" si="26"/>
        <v>1</v>
      </c>
      <c r="K298" s="37">
        <f t="shared" si="27"/>
        <v>0</v>
      </c>
      <c r="L298" s="38">
        <f>K298/J298</f>
        <v>0</v>
      </c>
      <c r="M298" s="39" t="str">
        <f t="shared" si="30"/>
        <v>0,5</v>
      </c>
      <c r="N298" s="35" t="str">
        <f t="shared" si="28"/>
        <v>Cukup</v>
      </c>
      <c r="O298" s="35" t="str">
        <f t="shared" si="29"/>
        <v>Terlampir Pada LHE ZI</v>
      </c>
    </row>
    <row r="299" spans="1:15" x14ac:dyDescent="0.25">
      <c r="A299" s="35"/>
      <c r="B299" s="35" t="s">
        <v>557</v>
      </c>
      <c r="C299" s="35" t="s">
        <v>307</v>
      </c>
      <c r="D299" s="36">
        <v>0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7">
        <f t="shared" si="26"/>
        <v>0</v>
      </c>
      <c r="K299" s="37">
        <f t="shared" si="27"/>
        <v>0</v>
      </c>
      <c r="L299" s="38" t="e">
        <v>#DIV/0!</v>
      </c>
      <c r="M299" s="39">
        <v>0</v>
      </c>
      <c r="N299" s="35" t="str">
        <f t="shared" si="28"/>
        <v>Kurang</v>
      </c>
      <c r="O299" s="35" t="str">
        <f t="shared" si="29"/>
        <v>Isi Rekomendasi</v>
      </c>
    </row>
    <row r="300" spans="1:15" x14ac:dyDescent="0.25">
      <c r="A300" s="35"/>
      <c r="B300" s="35" t="s">
        <v>558</v>
      </c>
      <c r="C300" s="35" t="s">
        <v>307</v>
      </c>
      <c r="D300" s="36">
        <v>0</v>
      </c>
      <c r="E300" s="36">
        <v>0</v>
      </c>
      <c r="F300" s="36">
        <v>0</v>
      </c>
      <c r="G300" s="36">
        <v>0</v>
      </c>
      <c r="H300" s="36">
        <v>0</v>
      </c>
      <c r="I300" s="36">
        <v>0</v>
      </c>
      <c r="J300" s="37">
        <f t="shared" si="26"/>
        <v>0</v>
      </c>
      <c r="K300" s="37">
        <f t="shared" si="27"/>
        <v>0</v>
      </c>
      <c r="L300" s="38" t="e">
        <v>#DIV/0!</v>
      </c>
      <c r="M300" s="39">
        <v>0</v>
      </c>
      <c r="N300" s="35" t="str">
        <f t="shared" si="28"/>
        <v>Kurang</v>
      </c>
      <c r="O300" s="35" t="str">
        <f t="shared" si="29"/>
        <v>Isi Rekomendasi</v>
      </c>
    </row>
    <row r="301" spans="1:15" x14ac:dyDescent="0.25">
      <c r="A301" s="35"/>
      <c r="B301" s="35" t="s">
        <v>360</v>
      </c>
      <c r="C301" s="35" t="s">
        <v>307</v>
      </c>
      <c r="D301" s="36">
        <v>0</v>
      </c>
      <c r="E301" s="36">
        <v>0</v>
      </c>
      <c r="F301" s="36">
        <v>0</v>
      </c>
      <c r="G301" s="36">
        <v>0</v>
      </c>
      <c r="H301" s="36">
        <v>0</v>
      </c>
      <c r="I301" s="36">
        <v>0</v>
      </c>
      <c r="J301" s="37">
        <f t="shared" si="26"/>
        <v>0</v>
      </c>
      <c r="K301" s="37">
        <f t="shared" si="27"/>
        <v>0</v>
      </c>
      <c r="L301" s="38" t="e">
        <v>#DIV/0!</v>
      </c>
      <c r="M301" s="39">
        <v>0</v>
      </c>
      <c r="N301" s="35" t="str">
        <f t="shared" si="28"/>
        <v>Kurang</v>
      </c>
      <c r="O301" s="35" t="str">
        <f t="shared" si="29"/>
        <v>Isi Rekomendasi</v>
      </c>
    </row>
    <row r="302" spans="1:15" x14ac:dyDescent="0.25">
      <c r="A302" s="35"/>
      <c r="B302" s="35" t="s">
        <v>559</v>
      </c>
      <c r="C302" s="35" t="s">
        <v>307</v>
      </c>
      <c r="D302" s="36">
        <v>0</v>
      </c>
      <c r="E302" s="36">
        <v>0</v>
      </c>
      <c r="F302" s="36">
        <v>0</v>
      </c>
      <c r="G302" s="36">
        <v>0</v>
      </c>
      <c r="H302" s="36">
        <v>0</v>
      </c>
      <c r="I302" s="36">
        <v>0</v>
      </c>
      <c r="J302" s="37">
        <f t="shared" si="26"/>
        <v>0</v>
      </c>
      <c r="K302" s="37">
        <f t="shared" si="27"/>
        <v>0</v>
      </c>
      <c r="L302" s="38" t="e">
        <v>#DIV/0!</v>
      </c>
      <c r="M302" s="39">
        <v>0</v>
      </c>
      <c r="N302" s="35" t="str">
        <f t="shared" si="28"/>
        <v>Kurang</v>
      </c>
      <c r="O302" s="35" t="str">
        <f t="shared" si="29"/>
        <v>Isi Rekomendasi</v>
      </c>
    </row>
    <row r="303" spans="1:15" x14ac:dyDescent="0.25">
      <c r="A303" s="35"/>
      <c r="B303" s="35" t="s">
        <v>120</v>
      </c>
      <c r="C303" s="35" t="s">
        <v>307</v>
      </c>
      <c r="D303" s="36">
        <v>0</v>
      </c>
      <c r="E303" s="36">
        <v>0</v>
      </c>
      <c r="F303" s="36">
        <v>0</v>
      </c>
      <c r="G303" s="36">
        <v>0</v>
      </c>
      <c r="H303" s="36">
        <v>3</v>
      </c>
      <c r="I303" s="36">
        <v>0</v>
      </c>
      <c r="J303" s="37">
        <f t="shared" si="26"/>
        <v>3</v>
      </c>
      <c r="K303" s="37">
        <f t="shared" si="27"/>
        <v>0</v>
      </c>
      <c r="L303" s="38">
        <f>K303/J303</f>
        <v>0</v>
      </c>
      <c r="M303" s="39" t="str">
        <f t="shared" si="30"/>
        <v>0,5</v>
      </c>
      <c r="N303" s="35" t="str">
        <f t="shared" si="28"/>
        <v>Cukup</v>
      </c>
      <c r="O303" s="35" t="str">
        <f t="shared" si="29"/>
        <v>Terlampir Pada LHE ZI</v>
      </c>
    </row>
    <row r="304" spans="1:15" x14ac:dyDescent="0.25">
      <c r="A304" s="35"/>
      <c r="B304" s="35" t="s">
        <v>560</v>
      </c>
      <c r="C304" s="35" t="s">
        <v>307</v>
      </c>
      <c r="D304" s="36">
        <v>0</v>
      </c>
      <c r="E304" s="36">
        <v>0</v>
      </c>
      <c r="F304" s="36">
        <v>0</v>
      </c>
      <c r="G304" s="36">
        <v>0</v>
      </c>
      <c r="H304" s="36">
        <v>0</v>
      </c>
      <c r="I304" s="36">
        <v>0</v>
      </c>
      <c r="J304" s="37">
        <f t="shared" si="26"/>
        <v>0</v>
      </c>
      <c r="K304" s="37">
        <f t="shared" si="27"/>
        <v>0</v>
      </c>
      <c r="L304" s="38" t="e">
        <v>#DIV/0!</v>
      </c>
      <c r="M304" s="39">
        <v>0</v>
      </c>
      <c r="N304" s="35" t="str">
        <f t="shared" si="28"/>
        <v>Kurang</v>
      </c>
      <c r="O304" s="35" t="str">
        <f t="shared" si="29"/>
        <v>Isi Rekomendasi</v>
      </c>
    </row>
    <row r="305" spans="1:15" x14ac:dyDescent="0.25">
      <c r="A305" s="35"/>
      <c r="B305" s="35" t="s">
        <v>378</v>
      </c>
      <c r="C305" s="35" t="s">
        <v>307</v>
      </c>
      <c r="D305" s="36">
        <v>0</v>
      </c>
      <c r="E305" s="36">
        <v>0</v>
      </c>
      <c r="F305" s="36">
        <v>0</v>
      </c>
      <c r="G305" s="36">
        <v>0</v>
      </c>
      <c r="H305" s="36">
        <v>0</v>
      </c>
      <c r="I305" s="36">
        <v>0</v>
      </c>
      <c r="J305" s="37">
        <f t="shared" si="26"/>
        <v>0</v>
      </c>
      <c r="K305" s="37">
        <f t="shared" si="27"/>
        <v>0</v>
      </c>
      <c r="L305" s="38" t="e">
        <v>#DIV/0!</v>
      </c>
      <c r="M305" s="39">
        <v>0</v>
      </c>
      <c r="N305" s="35" t="str">
        <f t="shared" si="28"/>
        <v>Kurang</v>
      </c>
      <c r="O305" s="35" t="str">
        <f t="shared" si="29"/>
        <v>Isi Rekomendasi</v>
      </c>
    </row>
    <row r="306" spans="1:15" x14ac:dyDescent="0.25">
      <c r="A306" s="35"/>
      <c r="B306" s="35" t="s">
        <v>121</v>
      </c>
      <c r="C306" s="35" t="s">
        <v>307</v>
      </c>
      <c r="D306" s="36">
        <v>0</v>
      </c>
      <c r="E306" s="36">
        <v>0</v>
      </c>
      <c r="F306" s="36">
        <v>4</v>
      </c>
      <c r="G306" s="36">
        <v>0</v>
      </c>
      <c r="H306" s="36">
        <v>4</v>
      </c>
      <c r="I306" s="36">
        <v>1</v>
      </c>
      <c r="J306" s="37">
        <f t="shared" si="26"/>
        <v>8</v>
      </c>
      <c r="K306" s="37">
        <f t="shared" si="27"/>
        <v>1</v>
      </c>
      <c r="L306" s="38">
        <f>K306/J306</f>
        <v>0.125</v>
      </c>
      <c r="M306" s="39" t="str">
        <f t="shared" si="30"/>
        <v>1,5</v>
      </c>
      <c r="N306" s="35" t="str">
        <f t="shared" si="28"/>
        <v>Sangat Baik</v>
      </c>
      <c r="O306" s="35" t="str">
        <f t="shared" si="29"/>
        <v>Terlampir Pada LHE ZI</v>
      </c>
    </row>
    <row r="307" spans="1:15" x14ac:dyDescent="0.25">
      <c r="A307" s="35"/>
      <c r="B307" s="35" t="s">
        <v>122</v>
      </c>
      <c r="C307" s="35" t="s">
        <v>307</v>
      </c>
      <c r="D307" s="36">
        <v>0</v>
      </c>
      <c r="E307" s="36">
        <v>0</v>
      </c>
      <c r="F307" s="36">
        <v>0</v>
      </c>
      <c r="G307" s="36">
        <v>0</v>
      </c>
      <c r="H307" s="36">
        <v>2</v>
      </c>
      <c r="I307" s="36">
        <v>0</v>
      </c>
      <c r="J307" s="37">
        <f t="shared" si="26"/>
        <v>2</v>
      </c>
      <c r="K307" s="37">
        <f t="shared" si="27"/>
        <v>0</v>
      </c>
      <c r="L307" s="38">
        <f>K307/J307</f>
        <v>0</v>
      </c>
      <c r="M307" s="39" t="str">
        <f t="shared" si="30"/>
        <v>0,5</v>
      </c>
      <c r="N307" s="35" t="str">
        <f t="shared" si="28"/>
        <v>Cukup</v>
      </c>
      <c r="O307" s="35" t="str">
        <f t="shared" si="29"/>
        <v>Terlampir Pada LHE ZI</v>
      </c>
    </row>
    <row r="308" spans="1:15" x14ac:dyDescent="0.25">
      <c r="A308" s="35"/>
      <c r="B308" s="35" t="s">
        <v>123</v>
      </c>
      <c r="C308" s="35" t="s">
        <v>307</v>
      </c>
      <c r="D308" s="36">
        <v>0</v>
      </c>
      <c r="E308" s="36">
        <v>0</v>
      </c>
      <c r="F308" s="36">
        <v>0</v>
      </c>
      <c r="G308" s="36">
        <v>0</v>
      </c>
      <c r="H308" s="36">
        <v>1</v>
      </c>
      <c r="I308" s="36">
        <v>0</v>
      </c>
      <c r="J308" s="37">
        <f t="shared" si="26"/>
        <v>1</v>
      </c>
      <c r="K308" s="37">
        <f t="shared" si="27"/>
        <v>0</v>
      </c>
      <c r="L308" s="38">
        <f>K308/J308</f>
        <v>0</v>
      </c>
      <c r="M308" s="39" t="str">
        <f t="shared" si="30"/>
        <v>0,5</v>
      </c>
      <c r="N308" s="35" t="str">
        <f t="shared" si="28"/>
        <v>Cukup</v>
      </c>
      <c r="O308" s="35" t="str">
        <f t="shared" si="29"/>
        <v>Terlampir Pada LHE ZI</v>
      </c>
    </row>
    <row r="309" spans="1:15" x14ac:dyDescent="0.25">
      <c r="A309" s="35"/>
      <c r="B309" s="35" t="s">
        <v>561</v>
      </c>
      <c r="C309" s="35" t="s">
        <v>307</v>
      </c>
      <c r="D309" s="36">
        <v>0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7">
        <f t="shared" si="26"/>
        <v>0</v>
      </c>
      <c r="K309" s="37">
        <f t="shared" si="27"/>
        <v>0</v>
      </c>
      <c r="L309" s="38" t="e">
        <v>#DIV/0!</v>
      </c>
      <c r="M309" s="39">
        <v>0</v>
      </c>
      <c r="N309" s="35" t="str">
        <f t="shared" si="28"/>
        <v>Kurang</v>
      </c>
      <c r="O309" s="35" t="str">
        <f t="shared" si="29"/>
        <v>Isi Rekomendasi</v>
      </c>
    </row>
    <row r="310" spans="1:15" x14ac:dyDescent="0.25">
      <c r="A310" s="35"/>
      <c r="B310" s="35" t="s">
        <v>562</v>
      </c>
      <c r="C310" s="35" t="s">
        <v>307</v>
      </c>
      <c r="D310" s="36">
        <v>0</v>
      </c>
      <c r="E310" s="36">
        <v>0</v>
      </c>
      <c r="F310" s="36">
        <v>0</v>
      </c>
      <c r="G310" s="36">
        <v>0</v>
      </c>
      <c r="H310" s="36">
        <v>0</v>
      </c>
      <c r="I310" s="36">
        <v>0</v>
      </c>
      <c r="J310" s="37">
        <f t="shared" si="26"/>
        <v>0</v>
      </c>
      <c r="K310" s="37">
        <f t="shared" si="27"/>
        <v>0</v>
      </c>
      <c r="L310" s="38" t="e">
        <v>#DIV/0!</v>
      </c>
      <c r="M310" s="39">
        <v>0</v>
      </c>
      <c r="N310" s="35" t="str">
        <f t="shared" si="28"/>
        <v>Kurang</v>
      </c>
      <c r="O310" s="35" t="str">
        <f t="shared" si="29"/>
        <v>Isi Rekomendasi</v>
      </c>
    </row>
    <row r="311" spans="1:15" x14ac:dyDescent="0.25">
      <c r="A311" s="35"/>
      <c r="B311" s="35" t="s">
        <v>124</v>
      </c>
      <c r="C311" s="35" t="s">
        <v>307</v>
      </c>
      <c r="D311" s="36">
        <v>0</v>
      </c>
      <c r="E311" s="36">
        <v>0</v>
      </c>
      <c r="F311" s="36">
        <v>2</v>
      </c>
      <c r="G311" s="36">
        <v>0</v>
      </c>
      <c r="H311" s="36">
        <v>2</v>
      </c>
      <c r="I311" s="36">
        <v>0</v>
      </c>
      <c r="J311" s="37">
        <f t="shared" si="26"/>
        <v>4</v>
      </c>
      <c r="K311" s="37">
        <f t="shared" si="27"/>
        <v>0</v>
      </c>
      <c r="L311" s="38">
        <f>K311/J311</f>
        <v>0</v>
      </c>
      <c r="M311" s="39" t="str">
        <f t="shared" si="30"/>
        <v>0,5</v>
      </c>
      <c r="N311" s="35" t="str">
        <f t="shared" si="28"/>
        <v>Cukup</v>
      </c>
      <c r="O311" s="35" t="str">
        <f t="shared" si="29"/>
        <v>Terlampir Pada LHE ZI</v>
      </c>
    </row>
    <row r="312" spans="1:15" x14ac:dyDescent="0.25">
      <c r="A312" s="35"/>
      <c r="B312" s="35" t="s">
        <v>125</v>
      </c>
      <c r="C312" s="35" t="s">
        <v>307</v>
      </c>
      <c r="D312" s="36">
        <v>1</v>
      </c>
      <c r="E312" s="36">
        <v>1</v>
      </c>
      <c r="F312" s="36">
        <v>0</v>
      </c>
      <c r="G312" s="36">
        <v>0</v>
      </c>
      <c r="H312" s="36">
        <v>2</v>
      </c>
      <c r="I312" s="36">
        <v>0</v>
      </c>
      <c r="J312" s="37">
        <f t="shared" si="26"/>
        <v>3</v>
      </c>
      <c r="K312" s="37">
        <f t="shared" si="27"/>
        <v>1</v>
      </c>
      <c r="L312" s="38">
        <f>K312/J312</f>
        <v>0.33333333333333331</v>
      </c>
      <c r="M312" s="39" t="str">
        <f t="shared" si="30"/>
        <v>1,5</v>
      </c>
      <c r="N312" s="35" t="str">
        <f t="shared" si="28"/>
        <v>Sangat Baik</v>
      </c>
      <c r="O312" s="35" t="str">
        <f t="shared" si="29"/>
        <v>Terlampir Pada LHE ZI</v>
      </c>
    </row>
    <row r="313" spans="1:15" x14ac:dyDescent="0.25">
      <c r="A313" s="35"/>
      <c r="B313" s="35" t="s">
        <v>126</v>
      </c>
      <c r="C313" s="35" t="s">
        <v>307</v>
      </c>
      <c r="D313" s="36">
        <v>0</v>
      </c>
      <c r="E313" s="36">
        <v>0</v>
      </c>
      <c r="F313" s="36">
        <v>0</v>
      </c>
      <c r="G313" s="36">
        <v>0</v>
      </c>
      <c r="H313" s="36">
        <v>1</v>
      </c>
      <c r="I313" s="36">
        <v>0</v>
      </c>
      <c r="J313" s="37">
        <f t="shared" si="26"/>
        <v>1</v>
      </c>
      <c r="K313" s="37">
        <f t="shared" si="27"/>
        <v>0</v>
      </c>
      <c r="L313" s="38">
        <f>K313/J313</f>
        <v>0</v>
      </c>
      <c r="M313" s="39" t="str">
        <f t="shared" si="30"/>
        <v>0,5</v>
      </c>
      <c r="N313" s="35" t="str">
        <f t="shared" si="28"/>
        <v>Cukup</v>
      </c>
      <c r="O313" s="35" t="str">
        <f t="shared" si="29"/>
        <v>Terlampir Pada LHE ZI</v>
      </c>
    </row>
    <row r="314" spans="1:15" x14ac:dyDescent="0.25">
      <c r="A314" s="35"/>
      <c r="B314" s="35" t="s">
        <v>563</v>
      </c>
      <c r="C314" s="35" t="s">
        <v>307</v>
      </c>
      <c r="D314" s="36">
        <v>0</v>
      </c>
      <c r="E314" s="36">
        <v>0</v>
      </c>
      <c r="F314" s="36">
        <v>0</v>
      </c>
      <c r="G314" s="36">
        <v>0</v>
      </c>
      <c r="H314" s="36">
        <v>0</v>
      </c>
      <c r="I314" s="36">
        <v>0</v>
      </c>
      <c r="J314" s="37">
        <f t="shared" si="26"/>
        <v>0</v>
      </c>
      <c r="K314" s="37">
        <f t="shared" si="27"/>
        <v>0</v>
      </c>
      <c r="L314" s="38" t="e">
        <v>#DIV/0!</v>
      </c>
      <c r="M314" s="39">
        <v>0</v>
      </c>
      <c r="N314" s="35" t="str">
        <f t="shared" si="28"/>
        <v>Kurang</v>
      </c>
      <c r="O314" s="35" t="str">
        <f t="shared" si="29"/>
        <v>Isi Rekomendasi</v>
      </c>
    </row>
    <row r="315" spans="1:15" x14ac:dyDescent="0.25">
      <c r="A315" s="35"/>
      <c r="B315" s="35" t="s">
        <v>127</v>
      </c>
      <c r="C315" s="35" t="s">
        <v>307</v>
      </c>
      <c r="D315" s="36">
        <v>0</v>
      </c>
      <c r="E315" s="36">
        <v>0</v>
      </c>
      <c r="F315" s="36">
        <v>0</v>
      </c>
      <c r="G315" s="36">
        <v>0</v>
      </c>
      <c r="H315" s="36">
        <v>2</v>
      </c>
      <c r="I315" s="36">
        <v>0</v>
      </c>
      <c r="J315" s="37">
        <f t="shared" si="26"/>
        <v>2</v>
      </c>
      <c r="K315" s="37">
        <f t="shared" si="27"/>
        <v>0</v>
      </c>
      <c r="L315" s="38">
        <f>K315/J315</f>
        <v>0</v>
      </c>
      <c r="M315" s="39" t="str">
        <f t="shared" si="30"/>
        <v>0,5</v>
      </c>
      <c r="N315" s="35" t="str">
        <f t="shared" si="28"/>
        <v>Cukup</v>
      </c>
      <c r="O315" s="35" t="str">
        <f t="shared" si="29"/>
        <v>Terlampir Pada LHE ZI</v>
      </c>
    </row>
    <row r="316" spans="1:15" x14ac:dyDescent="0.25">
      <c r="A316" s="35"/>
      <c r="B316" s="35" t="s">
        <v>564</v>
      </c>
      <c r="C316" s="35" t="s">
        <v>307</v>
      </c>
      <c r="D316" s="36">
        <v>0</v>
      </c>
      <c r="E316" s="36">
        <v>0</v>
      </c>
      <c r="F316" s="36">
        <v>0</v>
      </c>
      <c r="G316" s="36">
        <v>0</v>
      </c>
      <c r="H316" s="36">
        <v>0</v>
      </c>
      <c r="I316" s="36">
        <v>0</v>
      </c>
      <c r="J316" s="37">
        <f t="shared" si="26"/>
        <v>0</v>
      </c>
      <c r="K316" s="37">
        <f t="shared" si="27"/>
        <v>0</v>
      </c>
      <c r="L316" s="38" t="e">
        <v>#DIV/0!</v>
      </c>
      <c r="M316" s="39">
        <v>0</v>
      </c>
      <c r="N316" s="35" t="str">
        <f t="shared" si="28"/>
        <v>Kurang</v>
      </c>
      <c r="O316" s="35" t="str">
        <f t="shared" si="29"/>
        <v>Isi Rekomendasi</v>
      </c>
    </row>
    <row r="317" spans="1:15" x14ac:dyDescent="0.25">
      <c r="A317" s="35"/>
      <c r="B317" s="35" t="s">
        <v>128</v>
      </c>
      <c r="C317" s="35" t="s">
        <v>307</v>
      </c>
      <c r="D317" s="36">
        <v>3</v>
      </c>
      <c r="E317" s="36">
        <v>0</v>
      </c>
      <c r="F317" s="36">
        <v>4</v>
      </c>
      <c r="G317" s="36">
        <v>0</v>
      </c>
      <c r="H317" s="36">
        <v>2</v>
      </c>
      <c r="I317" s="36">
        <v>0</v>
      </c>
      <c r="J317" s="37">
        <f t="shared" si="26"/>
        <v>9</v>
      </c>
      <c r="K317" s="37">
        <f t="shared" si="27"/>
        <v>0</v>
      </c>
      <c r="L317" s="38">
        <f>K317/J317</f>
        <v>0</v>
      </c>
      <c r="M317" s="39" t="str">
        <f t="shared" si="30"/>
        <v>0,5</v>
      </c>
      <c r="N317" s="35" t="str">
        <f t="shared" si="28"/>
        <v>Cukup</v>
      </c>
      <c r="O317" s="35" t="str">
        <f t="shared" si="29"/>
        <v>Terlampir Pada LHE ZI</v>
      </c>
    </row>
    <row r="318" spans="1:15" x14ac:dyDescent="0.25">
      <c r="A318" s="35"/>
      <c r="B318" s="35" t="s">
        <v>129</v>
      </c>
      <c r="C318" s="35" t="s">
        <v>307</v>
      </c>
      <c r="D318" s="36">
        <v>0</v>
      </c>
      <c r="E318" s="36">
        <v>0</v>
      </c>
      <c r="F318" s="36">
        <v>0</v>
      </c>
      <c r="G318" s="36">
        <v>0</v>
      </c>
      <c r="H318" s="36">
        <v>1</v>
      </c>
      <c r="I318" s="36">
        <v>0</v>
      </c>
      <c r="J318" s="37">
        <f t="shared" si="26"/>
        <v>1</v>
      </c>
      <c r="K318" s="37">
        <f t="shared" si="27"/>
        <v>0</v>
      </c>
      <c r="L318" s="38">
        <f>K318/J318</f>
        <v>0</v>
      </c>
      <c r="M318" s="39" t="str">
        <f t="shared" si="30"/>
        <v>0,5</v>
      </c>
      <c r="N318" s="35" t="str">
        <f t="shared" si="28"/>
        <v>Cukup</v>
      </c>
      <c r="O318" s="35" t="str">
        <f t="shared" si="29"/>
        <v>Terlampir Pada LHE ZI</v>
      </c>
    </row>
    <row r="319" spans="1:15" x14ac:dyDescent="0.25">
      <c r="A319" s="35"/>
      <c r="B319" s="35" t="s">
        <v>355</v>
      </c>
      <c r="C319" s="35" t="s">
        <v>307</v>
      </c>
      <c r="D319" s="36">
        <v>1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7">
        <f t="shared" si="26"/>
        <v>1</v>
      </c>
      <c r="K319" s="37">
        <f t="shared" si="27"/>
        <v>0</v>
      </c>
      <c r="L319" s="38">
        <f>K319/J319</f>
        <v>0</v>
      </c>
      <c r="M319" s="39" t="str">
        <f t="shared" si="30"/>
        <v>0,5</v>
      </c>
      <c r="N319" s="35" t="str">
        <f t="shared" si="28"/>
        <v>Cukup</v>
      </c>
      <c r="O319" s="35" t="str">
        <f t="shared" si="29"/>
        <v>Terlampir Pada LHE ZI</v>
      </c>
    </row>
    <row r="320" spans="1:15" x14ac:dyDescent="0.25">
      <c r="A320" s="35"/>
      <c r="B320" s="35" t="s">
        <v>130</v>
      </c>
      <c r="C320" s="35" t="s">
        <v>307</v>
      </c>
      <c r="D320" s="36">
        <v>3</v>
      </c>
      <c r="E320" s="36">
        <v>0</v>
      </c>
      <c r="F320" s="36">
        <v>4</v>
      </c>
      <c r="G320" s="36">
        <v>0</v>
      </c>
      <c r="H320" s="36">
        <v>3</v>
      </c>
      <c r="I320" s="36">
        <v>0</v>
      </c>
      <c r="J320" s="37">
        <f t="shared" si="26"/>
        <v>10</v>
      </c>
      <c r="K320" s="37">
        <f t="shared" si="27"/>
        <v>0</v>
      </c>
      <c r="L320" s="38">
        <f>K320/J320</f>
        <v>0</v>
      </c>
      <c r="M320" s="39" t="str">
        <f t="shared" si="30"/>
        <v>0,5</v>
      </c>
      <c r="N320" s="35" t="str">
        <f t="shared" si="28"/>
        <v>Cukup</v>
      </c>
      <c r="O320" s="35" t="str">
        <f t="shared" si="29"/>
        <v>Terlampir Pada LHE ZI</v>
      </c>
    </row>
    <row r="321" spans="1:15" x14ac:dyDescent="0.25">
      <c r="A321" s="35"/>
      <c r="B321" s="35" t="s">
        <v>379</v>
      </c>
      <c r="C321" s="35" t="s">
        <v>307</v>
      </c>
      <c r="D321" s="36">
        <v>0</v>
      </c>
      <c r="E321" s="36">
        <v>0</v>
      </c>
      <c r="F321" s="36">
        <v>0</v>
      </c>
      <c r="G321" s="36">
        <v>0</v>
      </c>
      <c r="H321" s="36">
        <v>0</v>
      </c>
      <c r="I321" s="36">
        <v>0</v>
      </c>
      <c r="J321" s="37">
        <f t="shared" si="26"/>
        <v>0</v>
      </c>
      <c r="K321" s="37">
        <f t="shared" si="27"/>
        <v>0</v>
      </c>
      <c r="L321" s="38" t="e">
        <v>#DIV/0!</v>
      </c>
      <c r="M321" s="39">
        <v>0</v>
      </c>
      <c r="N321" s="35" t="str">
        <f t="shared" si="28"/>
        <v>Kurang</v>
      </c>
      <c r="O321" s="35" t="str">
        <f t="shared" si="29"/>
        <v>Isi Rekomendasi</v>
      </c>
    </row>
    <row r="322" spans="1:15" x14ac:dyDescent="0.25">
      <c r="A322" s="35"/>
      <c r="B322" s="35" t="s">
        <v>131</v>
      </c>
      <c r="C322" s="35" t="s">
        <v>307</v>
      </c>
      <c r="D322" s="36">
        <v>0</v>
      </c>
      <c r="E322" s="36">
        <v>0</v>
      </c>
      <c r="F322" s="36">
        <v>0</v>
      </c>
      <c r="G322" s="36">
        <v>0</v>
      </c>
      <c r="H322" s="36">
        <v>2</v>
      </c>
      <c r="I322" s="36">
        <v>0</v>
      </c>
      <c r="J322" s="37">
        <f t="shared" si="26"/>
        <v>2</v>
      </c>
      <c r="K322" s="37">
        <f t="shared" si="27"/>
        <v>0</v>
      </c>
      <c r="L322" s="38">
        <f>K322/J322</f>
        <v>0</v>
      </c>
      <c r="M322" s="39" t="str">
        <f t="shared" si="30"/>
        <v>0,5</v>
      </c>
      <c r="N322" s="35" t="str">
        <f t="shared" si="28"/>
        <v>Cukup</v>
      </c>
      <c r="O322" s="35" t="str">
        <f t="shared" si="29"/>
        <v>Terlampir Pada LHE ZI</v>
      </c>
    </row>
    <row r="323" spans="1:15" x14ac:dyDescent="0.25">
      <c r="A323" s="35"/>
      <c r="B323" s="35" t="s">
        <v>364</v>
      </c>
      <c r="C323" s="35" t="s">
        <v>307</v>
      </c>
      <c r="D323" s="36">
        <v>0</v>
      </c>
      <c r="E323" s="36">
        <v>0</v>
      </c>
      <c r="F323" s="36">
        <v>0</v>
      </c>
      <c r="G323" s="36">
        <v>0</v>
      </c>
      <c r="H323" s="36">
        <v>0</v>
      </c>
      <c r="I323" s="36">
        <v>0</v>
      </c>
      <c r="J323" s="37">
        <f t="shared" si="26"/>
        <v>0</v>
      </c>
      <c r="K323" s="37">
        <f t="shared" si="27"/>
        <v>0</v>
      </c>
      <c r="L323" s="38" t="e">
        <v>#DIV/0!</v>
      </c>
      <c r="M323" s="39">
        <v>0</v>
      </c>
      <c r="N323" s="35" t="str">
        <f t="shared" si="28"/>
        <v>Kurang</v>
      </c>
      <c r="O323" s="35" t="str">
        <f t="shared" si="29"/>
        <v>Isi Rekomendasi</v>
      </c>
    </row>
    <row r="324" spans="1:15" x14ac:dyDescent="0.25">
      <c r="A324" s="35"/>
      <c r="B324" s="35" t="s">
        <v>380</v>
      </c>
      <c r="C324" s="35" t="s">
        <v>307</v>
      </c>
      <c r="D324" s="36">
        <v>0</v>
      </c>
      <c r="E324" s="36">
        <v>0</v>
      </c>
      <c r="F324" s="36">
        <v>0</v>
      </c>
      <c r="G324" s="36">
        <v>0</v>
      </c>
      <c r="H324" s="36">
        <v>0</v>
      </c>
      <c r="I324" s="36">
        <v>0</v>
      </c>
      <c r="J324" s="37">
        <f t="shared" ref="J324:J387" si="31">D324+F324+H324</f>
        <v>0</v>
      </c>
      <c r="K324" s="37">
        <f t="shared" ref="K324:K387" si="32">E324+G324+I324</f>
        <v>0</v>
      </c>
      <c r="L324" s="38" t="e">
        <v>#DIV/0!</v>
      </c>
      <c r="M324" s="39">
        <v>0</v>
      </c>
      <c r="N324" s="35" t="str">
        <f t="shared" ref="N324:N387" si="33">_xlfn.IFS(AND(C324="KL",M324="3"),"Sangat Memuaskan",AND(C324="Pemda",M324="3,5"),"Sangat Memuaskan",AND(C324="KL",M324="2"),"Memuaskan",AND(C324="Pemda",M324="2,5"),"Memuaskan",AND(C324="KL",M324="1"),"Sangat Baik",AND(C324="Pemda",M324="1,5"),"Sangat Baik",AND(C324="KL",M324="0,75"),"Baik",AND(C324="Pemda",M324="0,75"),"Baik",AND(C324="KL",M324="0,5"),"Cukup",AND(C324="Pemda",M324="0,5"),"Cukup",AND(C324="KL",M324&lt;0.5),"Kurang",AND(C324="Pemda",M324&lt;0.5),"Kurang")</f>
        <v>Kurang</v>
      </c>
      <c r="O324" s="35" t="str">
        <f t="shared" ref="O324:O387" si="34">IF(N324="Kurang","Isi Rekomendasi","Terlampir Pada LHE ZI")</f>
        <v>Isi Rekomendasi</v>
      </c>
    </row>
    <row r="325" spans="1:15" x14ac:dyDescent="0.25">
      <c r="A325" s="35"/>
      <c r="B325" s="35" t="s">
        <v>565</v>
      </c>
      <c r="C325" s="35" t="s">
        <v>307</v>
      </c>
      <c r="D325" s="36">
        <v>0</v>
      </c>
      <c r="E325" s="36">
        <v>0</v>
      </c>
      <c r="F325" s="36">
        <v>0</v>
      </c>
      <c r="G325" s="36">
        <v>0</v>
      </c>
      <c r="H325" s="36">
        <v>0</v>
      </c>
      <c r="I325" s="36">
        <v>0</v>
      </c>
      <c r="J325" s="37">
        <f t="shared" si="31"/>
        <v>0</v>
      </c>
      <c r="K325" s="37">
        <f t="shared" si="32"/>
        <v>0</v>
      </c>
      <c r="L325" s="38" t="e">
        <v>#DIV/0!</v>
      </c>
      <c r="M325" s="39">
        <v>0</v>
      </c>
      <c r="N325" s="35" t="str">
        <f t="shared" si="33"/>
        <v>Kurang</v>
      </c>
      <c r="O325" s="35" t="str">
        <f t="shared" si="34"/>
        <v>Isi Rekomendasi</v>
      </c>
    </row>
    <row r="326" spans="1:15" x14ac:dyDescent="0.25">
      <c r="A326" s="35"/>
      <c r="B326" s="35" t="s">
        <v>566</v>
      </c>
      <c r="C326" s="35" t="s">
        <v>307</v>
      </c>
      <c r="D326" s="36">
        <v>0</v>
      </c>
      <c r="E326" s="36">
        <v>0</v>
      </c>
      <c r="F326" s="36">
        <v>0</v>
      </c>
      <c r="G326" s="36">
        <v>0</v>
      </c>
      <c r="H326" s="36">
        <v>0</v>
      </c>
      <c r="I326" s="36">
        <v>0</v>
      </c>
      <c r="J326" s="37">
        <f t="shared" si="31"/>
        <v>0</v>
      </c>
      <c r="K326" s="37">
        <f t="shared" si="32"/>
        <v>0</v>
      </c>
      <c r="L326" s="38" t="e">
        <v>#DIV/0!</v>
      </c>
      <c r="M326" s="39">
        <v>0</v>
      </c>
      <c r="N326" s="35" t="str">
        <f t="shared" si="33"/>
        <v>Kurang</v>
      </c>
      <c r="O326" s="35" t="str">
        <f t="shared" si="34"/>
        <v>Isi Rekomendasi</v>
      </c>
    </row>
    <row r="327" spans="1:15" x14ac:dyDescent="0.25">
      <c r="A327" s="35"/>
      <c r="B327" s="35" t="s">
        <v>567</v>
      </c>
      <c r="C327" s="35" t="s">
        <v>307</v>
      </c>
      <c r="D327" s="36">
        <v>0</v>
      </c>
      <c r="E327" s="36">
        <v>0</v>
      </c>
      <c r="F327" s="36">
        <v>0</v>
      </c>
      <c r="G327" s="36">
        <v>0</v>
      </c>
      <c r="H327" s="36">
        <v>0</v>
      </c>
      <c r="I327" s="36">
        <v>0</v>
      </c>
      <c r="J327" s="37">
        <f t="shared" si="31"/>
        <v>0</v>
      </c>
      <c r="K327" s="37">
        <f t="shared" si="32"/>
        <v>0</v>
      </c>
      <c r="L327" s="38" t="e">
        <v>#DIV/0!</v>
      </c>
      <c r="M327" s="39">
        <v>0</v>
      </c>
      <c r="N327" s="35" t="str">
        <f t="shared" si="33"/>
        <v>Kurang</v>
      </c>
      <c r="O327" s="35" t="str">
        <f t="shared" si="34"/>
        <v>Isi Rekomendasi</v>
      </c>
    </row>
    <row r="328" spans="1:15" x14ac:dyDescent="0.25">
      <c r="A328" s="35"/>
      <c r="B328" s="35" t="s">
        <v>568</v>
      </c>
      <c r="C328" s="35" t="s">
        <v>307</v>
      </c>
      <c r="D328" s="36">
        <v>0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7">
        <f t="shared" si="31"/>
        <v>0</v>
      </c>
      <c r="K328" s="37">
        <f t="shared" si="32"/>
        <v>0</v>
      </c>
      <c r="L328" s="38" t="e">
        <v>#DIV/0!</v>
      </c>
      <c r="M328" s="39">
        <v>0</v>
      </c>
      <c r="N328" s="35" t="str">
        <f t="shared" si="33"/>
        <v>Kurang</v>
      </c>
      <c r="O328" s="35" t="str">
        <f t="shared" si="34"/>
        <v>Isi Rekomendasi</v>
      </c>
    </row>
    <row r="329" spans="1:15" x14ac:dyDescent="0.25">
      <c r="A329" s="35"/>
      <c r="B329" s="35" t="s">
        <v>375</v>
      </c>
      <c r="C329" s="35" t="s">
        <v>307</v>
      </c>
      <c r="D329" s="36">
        <v>0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7">
        <f t="shared" si="31"/>
        <v>0</v>
      </c>
      <c r="K329" s="37">
        <f t="shared" si="32"/>
        <v>0</v>
      </c>
      <c r="L329" s="38" t="e">
        <v>#DIV/0!</v>
      </c>
      <c r="M329" s="39">
        <v>0</v>
      </c>
      <c r="N329" s="35" t="str">
        <f t="shared" si="33"/>
        <v>Kurang</v>
      </c>
      <c r="O329" s="35" t="str">
        <f t="shared" si="34"/>
        <v>Isi Rekomendasi</v>
      </c>
    </row>
    <row r="330" spans="1:15" x14ac:dyDescent="0.25">
      <c r="A330" s="35"/>
      <c r="B330" s="35" t="s">
        <v>569</v>
      </c>
      <c r="C330" s="35" t="s">
        <v>307</v>
      </c>
      <c r="D330" s="36">
        <v>0</v>
      </c>
      <c r="E330" s="36">
        <v>0</v>
      </c>
      <c r="F330" s="36">
        <v>0</v>
      </c>
      <c r="G330" s="36">
        <v>0</v>
      </c>
      <c r="H330" s="36">
        <v>0</v>
      </c>
      <c r="I330" s="36">
        <v>0</v>
      </c>
      <c r="J330" s="37">
        <f t="shared" si="31"/>
        <v>0</v>
      </c>
      <c r="K330" s="37">
        <f t="shared" si="32"/>
        <v>0</v>
      </c>
      <c r="L330" s="38" t="e">
        <v>#DIV/0!</v>
      </c>
      <c r="M330" s="39">
        <v>0</v>
      </c>
      <c r="N330" s="35" t="str">
        <f t="shared" si="33"/>
        <v>Kurang</v>
      </c>
      <c r="O330" s="35" t="str">
        <f t="shared" si="34"/>
        <v>Isi Rekomendasi</v>
      </c>
    </row>
    <row r="331" spans="1:15" x14ac:dyDescent="0.25">
      <c r="A331" s="35"/>
      <c r="B331" s="35" t="s">
        <v>570</v>
      </c>
      <c r="C331" s="35" t="s">
        <v>307</v>
      </c>
      <c r="D331" s="36">
        <v>0</v>
      </c>
      <c r="E331" s="36">
        <v>0</v>
      </c>
      <c r="F331" s="36">
        <v>0</v>
      </c>
      <c r="G331" s="36">
        <v>0</v>
      </c>
      <c r="H331" s="36">
        <v>0</v>
      </c>
      <c r="I331" s="36">
        <v>0</v>
      </c>
      <c r="J331" s="37">
        <f t="shared" si="31"/>
        <v>0</v>
      </c>
      <c r="K331" s="37">
        <f t="shared" si="32"/>
        <v>0</v>
      </c>
      <c r="L331" s="38" t="e">
        <v>#DIV/0!</v>
      </c>
      <c r="M331" s="39">
        <v>0</v>
      </c>
      <c r="N331" s="35" t="str">
        <f t="shared" si="33"/>
        <v>Kurang</v>
      </c>
      <c r="O331" s="35" t="str">
        <f t="shared" si="34"/>
        <v>Isi Rekomendasi</v>
      </c>
    </row>
    <row r="332" spans="1:15" x14ac:dyDescent="0.25">
      <c r="A332" s="35"/>
      <c r="B332" s="35" t="s">
        <v>132</v>
      </c>
      <c r="C332" s="35" t="s">
        <v>307</v>
      </c>
      <c r="D332" s="36">
        <v>0</v>
      </c>
      <c r="E332" s="36">
        <v>0</v>
      </c>
      <c r="F332" s="36">
        <v>2</v>
      </c>
      <c r="G332" s="36">
        <v>0</v>
      </c>
      <c r="H332" s="36">
        <v>1</v>
      </c>
      <c r="I332" s="36">
        <v>1</v>
      </c>
      <c r="J332" s="37">
        <f t="shared" si="31"/>
        <v>3</v>
      </c>
      <c r="K332" s="37">
        <f t="shared" si="32"/>
        <v>1</v>
      </c>
      <c r="L332" s="38">
        <f>K332/J332</f>
        <v>0.33333333333333331</v>
      </c>
      <c r="M332" s="39" t="str">
        <f t="shared" ref="M332:M384" si="35">IF(AND(C332="KL",L332&gt;75%),"3",IF(AND(C332="KL",L332&gt;40%),"2",IF(AND(C332="KL",L332&gt;10%),"1",IF(AND(C332="KL",L332&gt;0.1%),"0,75",IF(AND(C332="KL",L332&gt;=0%),"0,5",IF(AND(C332="Pemda",L332&gt;75%),"3,5",IF(AND(C332="Pemda",L332&gt;40%),"2,5",IF(AND(C332="Pemda",L332&gt;10%),"1,5",IF(AND(C332="Pemda",L332&gt;0.1%),"0,75",IF(AND(C332="Pemda",L332&gt;=0%),"0,5","0"))))))))))</f>
        <v>1,5</v>
      </c>
      <c r="N332" s="35" t="str">
        <f t="shared" si="33"/>
        <v>Sangat Baik</v>
      </c>
      <c r="O332" s="35" t="str">
        <f t="shared" si="34"/>
        <v>Terlampir Pada LHE ZI</v>
      </c>
    </row>
    <row r="333" spans="1:15" x14ac:dyDescent="0.25">
      <c r="A333" s="35"/>
      <c r="B333" s="35" t="s">
        <v>571</v>
      </c>
      <c r="C333" s="35" t="s">
        <v>307</v>
      </c>
      <c r="D333" s="36">
        <v>0</v>
      </c>
      <c r="E333" s="36">
        <v>0</v>
      </c>
      <c r="F333" s="36">
        <v>0</v>
      </c>
      <c r="G333" s="36">
        <v>0</v>
      </c>
      <c r="H333" s="36">
        <v>0</v>
      </c>
      <c r="I333" s="36">
        <v>0</v>
      </c>
      <c r="J333" s="37">
        <f t="shared" si="31"/>
        <v>0</v>
      </c>
      <c r="K333" s="37">
        <f t="shared" si="32"/>
        <v>0</v>
      </c>
      <c r="L333" s="38" t="e">
        <v>#DIV/0!</v>
      </c>
      <c r="M333" s="39">
        <v>0</v>
      </c>
      <c r="N333" s="35" t="str">
        <f t="shared" si="33"/>
        <v>Kurang</v>
      </c>
      <c r="O333" s="35" t="str">
        <f t="shared" si="34"/>
        <v>Isi Rekomendasi</v>
      </c>
    </row>
    <row r="334" spans="1:15" x14ac:dyDescent="0.25">
      <c r="A334" s="35"/>
      <c r="B334" s="35" t="s">
        <v>572</v>
      </c>
      <c r="C334" s="35" t="s">
        <v>307</v>
      </c>
      <c r="D334" s="36">
        <v>0</v>
      </c>
      <c r="E334" s="36">
        <v>0</v>
      </c>
      <c r="F334" s="36">
        <v>0</v>
      </c>
      <c r="G334" s="36">
        <v>0</v>
      </c>
      <c r="H334" s="36">
        <v>0</v>
      </c>
      <c r="I334" s="36">
        <v>0</v>
      </c>
      <c r="J334" s="37">
        <f t="shared" si="31"/>
        <v>0</v>
      </c>
      <c r="K334" s="37">
        <f t="shared" si="32"/>
        <v>0</v>
      </c>
      <c r="L334" s="38" t="e">
        <v>#DIV/0!</v>
      </c>
      <c r="M334" s="39">
        <v>0</v>
      </c>
      <c r="N334" s="35" t="str">
        <f t="shared" si="33"/>
        <v>Kurang</v>
      </c>
      <c r="O334" s="35" t="str">
        <f t="shared" si="34"/>
        <v>Isi Rekomendasi</v>
      </c>
    </row>
    <row r="335" spans="1:15" x14ac:dyDescent="0.25">
      <c r="A335" s="35"/>
      <c r="B335" s="35" t="s">
        <v>573</v>
      </c>
      <c r="C335" s="35" t="s">
        <v>307</v>
      </c>
      <c r="D335" s="36">
        <v>0</v>
      </c>
      <c r="E335" s="36">
        <v>0</v>
      </c>
      <c r="F335" s="36">
        <v>0</v>
      </c>
      <c r="G335" s="36">
        <v>0</v>
      </c>
      <c r="H335" s="36">
        <v>0</v>
      </c>
      <c r="I335" s="36">
        <v>0</v>
      </c>
      <c r="J335" s="37">
        <f t="shared" si="31"/>
        <v>0</v>
      </c>
      <c r="K335" s="37">
        <f t="shared" si="32"/>
        <v>0</v>
      </c>
      <c r="L335" s="38" t="e">
        <v>#DIV/0!</v>
      </c>
      <c r="M335" s="39">
        <v>0</v>
      </c>
      <c r="N335" s="35" t="str">
        <f t="shared" si="33"/>
        <v>Kurang</v>
      </c>
      <c r="O335" s="35" t="str">
        <f t="shared" si="34"/>
        <v>Isi Rekomendasi</v>
      </c>
    </row>
    <row r="336" spans="1:15" x14ac:dyDescent="0.25">
      <c r="A336" s="35"/>
      <c r="B336" s="35" t="s">
        <v>574</v>
      </c>
      <c r="C336" s="35" t="s">
        <v>307</v>
      </c>
      <c r="D336" s="36">
        <v>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7">
        <f t="shared" si="31"/>
        <v>0</v>
      </c>
      <c r="K336" s="37">
        <f t="shared" si="32"/>
        <v>0</v>
      </c>
      <c r="L336" s="38" t="e">
        <v>#DIV/0!</v>
      </c>
      <c r="M336" s="39">
        <v>0</v>
      </c>
      <c r="N336" s="35" t="str">
        <f t="shared" si="33"/>
        <v>Kurang</v>
      </c>
      <c r="O336" s="35" t="str">
        <f t="shared" si="34"/>
        <v>Isi Rekomendasi</v>
      </c>
    </row>
    <row r="337" spans="1:15" x14ac:dyDescent="0.25">
      <c r="A337" s="35"/>
      <c r="B337" s="35" t="s">
        <v>133</v>
      </c>
      <c r="C337" s="35" t="s">
        <v>307</v>
      </c>
      <c r="D337" s="36">
        <v>0</v>
      </c>
      <c r="E337" s="36">
        <v>0</v>
      </c>
      <c r="F337" s="36">
        <v>0</v>
      </c>
      <c r="G337" s="36">
        <v>0</v>
      </c>
      <c r="H337" s="36">
        <v>3</v>
      </c>
      <c r="I337" s="36">
        <v>0</v>
      </c>
      <c r="J337" s="37">
        <f t="shared" si="31"/>
        <v>3</v>
      </c>
      <c r="K337" s="37">
        <f t="shared" si="32"/>
        <v>0</v>
      </c>
      <c r="L337" s="38">
        <f>K337/J337</f>
        <v>0</v>
      </c>
      <c r="M337" s="39" t="str">
        <f t="shared" si="35"/>
        <v>0,5</v>
      </c>
      <c r="N337" s="35" t="str">
        <f t="shared" si="33"/>
        <v>Cukup</v>
      </c>
      <c r="O337" s="35" t="str">
        <f t="shared" si="34"/>
        <v>Terlampir Pada LHE ZI</v>
      </c>
    </row>
    <row r="338" spans="1:15" x14ac:dyDescent="0.25">
      <c r="A338" s="35"/>
      <c r="B338" s="35" t="s">
        <v>575</v>
      </c>
      <c r="C338" s="35" t="s">
        <v>307</v>
      </c>
      <c r="D338" s="36">
        <v>0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7">
        <f t="shared" si="31"/>
        <v>0</v>
      </c>
      <c r="K338" s="37">
        <f t="shared" si="32"/>
        <v>0</v>
      </c>
      <c r="L338" s="38" t="e">
        <v>#DIV/0!</v>
      </c>
      <c r="M338" s="39">
        <v>0</v>
      </c>
      <c r="N338" s="35" t="str">
        <f t="shared" si="33"/>
        <v>Kurang</v>
      </c>
      <c r="O338" s="35" t="str">
        <f t="shared" si="34"/>
        <v>Isi Rekomendasi</v>
      </c>
    </row>
    <row r="339" spans="1:15" x14ac:dyDescent="0.25">
      <c r="A339" s="35"/>
      <c r="B339" s="35" t="s">
        <v>576</v>
      </c>
      <c r="C339" s="35" t="s">
        <v>307</v>
      </c>
      <c r="D339" s="36">
        <v>0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7">
        <f t="shared" si="31"/>
        <v>0</v>
      </c>
      <c r="K339" s="37">
        <f t="shared" si="32"/>
        <v>0</v>
      </c>
      <c r="L339" s="38" t="e">
        <v>#DIV/0!</v>
      </c>
      <c r="M339" s="39">
        <v>0</v>
      </c>
      <c r="N339" s="35" t="str">
        <f t="shared" si="33"/>
        <v>Kurang</v>
      </c>
      <c r="O339" s="35" t="str">
        <f t="shared" si="34"/>
        <v>Isi Rekomendasi</v>
      </c>
    </row>
    <row r="340" spans="1:15" x14ac:dyDescent="0.25">
      <c r="A340" s="35"/>
      <c r="B340" s="35" t="s">
        <v>577</v>
      </c>
      <c r="C340" s="35" t="s">
        <v>307</v>
      </c>
      <c r="D340" s="36">
        <v>0</v>
      </c>
      <c r="E340" s="36">
        <v>0</v>
      </c>
      <c r="F340" s="36">
        <v>0</v>
      </c>
      <c r="G340" s="36">
        <v>0</v>
      </c>
      <c r="H340" s="36">
        <v>0</v>
      </c>
      <c r="I340" s="36">
        <v>0</v>
      </c>
      <c r="J340" s="37">
        <f t="shared" si="31"/>
        <v>0</v>
      </c>
      <c r="K340" s="37">
        <f t="shared" si="32"/>
        <v>0</v>
      </c>
      <c r="L340" s="38" t="e">
        <v>#DIV/0!</v>
      </c>
      <c r="M340" s="39">
        <v>0</v>
      </c>
      <c r="N340" s="35" t="str">
        <f t="shared" si="33"/>
        <v>Kurang</v>
      </c>
      <c r="O340" s="35" t="str">
        <f t="shared" si="34"/>
        <v>Isi Rekomendasi</v>
      </c>
    </row>
    <row r="341" spans="1:15" x14ac:dyDescent="0.25">
      <c r="A341" s="35"/>
      <c r="B341" s="35" t="s">
        <v>578</v>
      </c>
      <c r="C341" s="35" t="s">
        <v>307</v>
      </c>
      <c r="D341" s="36">
        <v>0</v>
      </c>
      <c r="E341" s="36">
        <v>0</v>
      </c>
      <c r="F341" s="36">
        <v>0</v>
      </c>
      <c r="G341" s="36">
        <v>0</v>
      </c>
      <c r="H341" s="36">
        <v>0</v>
      </c>
      <c r="I341" s="36">
        <v>0</v>
      </c>
      <c r="J341" s="37">
        <f t="shared" si="31"/>
        <v>0</v>
      </c>
      <c r="K341" s="37">
        <f t="shared" si="32"/>
        <v>0</v>
      </c>
      <c r="L341" s="38" t="e">
        <v>#DIV/0!</v>
      </c>
      <c r="M341" s="39">
        <v>0</v>
      </c>
      <c r="N341" s="35" t="str">
        <f t="shared" si="33"/>
        <v>Kurang</v>
      </c>
      <c r="O341" s="35" t="str">
        <f t="shared" si="34"/>
        <v>Isi Rekomendasi</v>
      </c>
    </row>
    <row r="342" spans="1:15" x14ac:dyDescent="0.25">
      <c r="A342" s="35"/>
      <c r="B342" s="35" t="s">
        <v>579</v>
      </c>
      <c r="C342" s="35" t="s">
        <v>307</v>
      </c>
      <c r="D342" s="36">
        <v>0</v>
      </c>
      <c r="E342" s="36">
        <v>0</v>
      </c>
      <c r="F342" s="36">
        <v>0</v>
      </c>
      <c r="G342" s="36">
        <v>0</v>
      </c>
      <c r="H342" s="36">
        <v>0</v>
      </c>
      <c r="I342" s="36">
        <v>0</v>
      </c>
      <c r="J342" s="37">
        <f t="shared" si="31"/>
        <v>0</v>
      </c>
      <c r="K342" s="37">
        <f t="shared" si="32"/>
        <v>0</v>
      </c>
      <c r="L342" s="38" t="e">
        <v>#DIV/0!</v>
      </c>
      <c r="M342" s="39">
        <v>0</v>
      </c>
      <c r="N342" s="35" t="str">
        <f t="shared" si="33"/>
        <v>Kurang</v>
      </c>
      <c r="O342" s="35" t="str">
        <f t="shared" si="34"/>
        <v>Isi Rekomendasi</v>
      </c>
    </row>
    <row r="343" spans="1:15" x14ac:dyDescent="0.25">
      <c r="A343" s="35"/>
      <c r="B343" s="35" t="s">
        <v>580</v>
      </c>
      <c r="C343" s="35" t="s">
        <v>307</v>
      </c>
      <c r="D343" s="36">
        <v>0</v>
      </c>
      <c r="E343" s="36">
        <v>0</v>
      </c>
      <c r="F343" s="36">
        <v>0</v>
      </c>
      <c r="G343" s="36">
        <v>0</v>
      </c>
      <c r="H343" s="36">
        <v>0</v>
      </c>
      <c r="I343" s="36">
        <v>0</v>
      </c>
      <c r="J343" s="37">
        <f t="shared" si="31"/>
        <v>0</v>
      </c>
      <c r="K343" s="37">
        <f t="shared" si="32"/>
        <v>0</v>
      </c>
      <c r="L343" s="38" t="e">
        <v>#DIV/0!</v>
      </c>
      <c r="M343" s="39">
        <v>0</v>
      </c>
      <c r="N343" s="35" t="str">
        <f t="shared" si="33"/>
        <v>Kurang</v>
      </c>
      <c r="O343" s="35" t="str">
        <f t="shared" si="34"/>
        <v>Isi Rekomendasi</v>
      </c>
    </row>
    <row r="344" spans="1:15" x14ac:dyDescent="0.25">
      <c r="A344" s="35"/>
      <c r="B344" s="35" t="s">
        <v>581</v>
      </c>
      <c r="C344" s="35" t="s">
        <v>307</v>
      </c>
      <c r="D344" s="36">
        <v>0</v>
      </c>
      <c r="E344" s="36">
        <v>0</v>
      </c>
      <c r="F344" s="36">
        <v>0</v>
      </c>
      <c r="G344" s="36">
        <v>0</v>
      </c>
      <c r="H344" s="36">
        <v>0</v>
      </c>
      <c r="I344" s="36">
        <v>0</v>
      </c>
      <c r="J344" s="37">
        <f t="shared" si="31"/>
        <v>0</v>
      </c>
      <c r="K344" s="37">
        <f t="shared" si="32"/>
        <v>0</v>
      </c>
      <c r="L344" s="38" t="e">
        <v>#DIV/0!</v>
      </c>
      <c r="M344" s="39">
        <v>0</v>
      </c>
      <c r="N344" s="35" t="str">
        <f t="shared" si="33"/>
        <v>Kurang</v>
      </c>
      <c r="O344" s="35" t="str">
        <f t="shared" si="34"/>
        <v>Isi Rekomendasi</v>
      </c>
    </row>
    <row r="345" spans="1:15" x14ac:dyDescent="0.25">
      <c r="A345" s="35"/>
      <c r="B345" s="35" t="s">
        <v>582</v>
      </c>
      <c r="C345" s="35" t="s">
        <v>307</v>
      </c>
      <c r="D345" s="36">
        <v>0</v>
      </c>
      <c r="E345" s="36">
        <v>0</v>
      </c>
      <c r="F345" s="36">
        <v>0</v>
      </c>
      <c r="G345" s="36">
        <v>0</v>
      </c>
      <c r="H345" s="36">
        <v>0</v>
      </c>
      <c r="I345" s="36">
        <v>0</v>
      </c>
      <c r="J345" s="37">
        <f t="shared" si="31"/>
        <v>0</v>
      </c>
      <c r="K345" s="37">
        <f t="shared" si="32"/>
        <v>0</v>
      </c>
      <c r="L345" s="38" t="e">
        <v>#DIV/0!</v>
      </c>
      <c r="M345" s="39">
        <v>0</v>
      </c>
      <c r="N345" s="35" t="str">
        <f t="shared" si="33"/>
        <v>Kurang</v>
      </c>
      <c r="O345" s="35" t="str">
        <f t="shared" si="34"/>
        <v>Isi Rekomendasi</v>
      </c>
    </row>
    <row r="346" spans="1:15" x14ac:dyDescent="0.25">
      <c r="A346" s="35"/>
      <c r="B346" s="35" t="s">
        <v>583</v>
      </c>
      <c r="C346" s="35" t="s">
        <v>307</v>
      </c>
      <c r="D346" s="36">
        <v>0</v>
      </c>
      <c r="E346" s="36">
        <v>0</v>
      </c>
      <c r="F346" s="36">
        <v>0</v>
      </c>
      <c r="G346" s="36">
        <v>0</v>
      </c>
      <c r="H346" s="36">
        <v>0</v>
      </c>
      <c r="I346" s="36">
        <v>0</v>
      </c>
      <c r="J346" s="37">
        <f t="shared" si="31"/>
        <v>0</v>
      </c>
      <c r="K346" s="37">
        <f t="shared" si="32"/>
        <v>0</v>
      </c>
      <c r="L346" s="38" t="e">
        <v>#DIV/0!</v>
      </c>
      <c r="M346" s="39">
        <v>0</v>
      </c>
      <c r="N346" s="35" t="str">
        <f t="shared" si="33"/>
        <v>Kurang</v>
      </c>
      <c r="O346" s="35" t="str">
        <f t="shared" si="34"/>
        <v>Isi Rekomendasi</v>
      </c>
    </row>
    <row r="347" spans="1:15" x14ac:dyDescent="0.25">
      <c r="A347" s="35"/>
      <c r="B347" s="35" t="s">
        <v>584</v>
      </c>
      <c r="C347" s="35" t="s">
        <v>307</v>
      </c>
      <c r="D347" s="36">
        <v>0</v>
      </c>
      <c r="E347" s="36">
        <v>0</v>
      </c>
      <c r="F347" s="36">
        <v>0</v>
      </c>
      <c r="G347" s="36">
        <v>0</v>
      </c>
      <c r="H347" s="36">
        <v>0</v>
      </c>
      <c r="I347" s="36">
        <v>0</v>
      </c>
      <c r="J347" s="37">
        <f t="shared" si="31"/>
        <v>0</v>
      </c>
      <c r="K347" s="37">
        <f t="shared" si="32"/>
        <v>0</v>
      </c>
      <c r="L347" s="38" t="e">
        <v>#DIV/0!</v>
      </c>
      <c r="M347" s="39">
        <v>0</v>
      </c>
      <c r="N347" s="35" t="str">
        <f t="shared" si="33"/>
        <v>Kurang</v>
      </c>
      <c r="O347" s="35" t="str">
        <f t="shared" si="34"/>
        <v>Isi Rekomendasi</v>
      </c>
    </row>
    <row r="348" spans="1:15" x14ac:dyDescent="0.25">
      <c r="A348" s="35"/>
      <c r="B348" s="35" t="s">
        <v>585</v>
      </c>
      <c r="C348" s="35" t="s">
        <v>307</v>
      </c>
      <c r="D348" s="36">
        <v>0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7">
        <f t="shared" si="31"/>
        <v>0</v>
      </c>
      <c r="K348" s="37">
        <f t="shared" si="32"/>
        <v>0</v>
      </c>
      <c r="L348" s="38" t="e">
        <v>#DIV/0!</v>
      </c>
      <c r="M348" s="39">
        <v>0</v>
      </c>
      <c r="N348" s="35" t="str">
        <f t="shared" si="33"/>
        <v>Kurang</v>
      </c>
      <c r="O348" s="35" t="str">
        <f t="shared" si="34"/>
        <v>Isi Rekomendasi</v>
      </c>
    </row>
    <row r="349" spans="1:15" x14ac:dyDescent="0.25">
      <c r="A349" s="35"/>
      <c r="B349" s="35" t="s">
        <v>586</v>
      </c>
      <c r="C349" s="35" t="s">
        <v>307</v>
      </c>
      <c r="D349" s="36">
        <v>0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7">
        <f t="shared" si="31"/>
        <v>0</v>
      </c>
      <c r="K349" s="37">
        <f t="shared" si="32"/>
        <v>0</v>
      </c>
      <c r="L349" s="38" t="e">
        <v>#DIV/0!</v>
      </c>
      <c r="M349" s="39">
        <v>0</v>
      </c>
      <c r="N349" s="35" t="str">
        <f t="shared" si="33"/>
        <v>Kurang</v>
      </c>
      <c r="O349" s="35" t="str">
        <f t="shared" si="34"/>
        <v>Isi Rekomendasi</v>
      </c>
    </row>
    <row r="350" spans="1:15" x14ac:dyDescent="0.25">
      <c r="A350" s="35"/>
      <c r="B350" s="35" t="s">
        <v>587</v>
      </c>
      <c r="C350" s="35" t="s">
        <v>307</v>
      </c>
      <c r="D350" s="36">
        <v>0</v>
      </c>
      <c r="E350" s="36">
        <v>0</v>
      </c>
      <c r="F350" s="36">
        <v>0</v>
      </c>
      <c r="G350" s="36">
        <v>0</v>
      </c>
      <c r="H350" s="36">
        <v>0</v>
      </c>
      <c r="I350" s="36">
        <v>0</v>
      </c>
      <c r="J350" s="37">
        <f t="shared" si="31"/>
        <v>0</v>
      </c>
      <c r="K350" s="37">
        <f t="shared" si="32"/>
        <v>0</v>
      </c>
      <c r="L350" s="38" t="e">
        <v>#DIV/0!</v>
      </c>
      <c r="M350" s="39">
        <v>0</v>
      </c>
      <c r="N350" s="35" t="str">
        <f t="shared" si="33"/>
        <v>Kurang</v>
      </c>
      <c r="O350" s="35" t="str">
        <f t="shared" si="34"/>
        <v>Isi Rekomendasi</v>
      </c>
    </row>
    <row r="351" spans="1:15" x14ac:dyDescent="0.25">
      <c r="A351" s="35"/>
      <c r="B351" s="35" t="s">
        <v>588</v>
      </c>
      <c r="C351" s="35" t="s">
        <v>307</v>
      </c>
      <c r="D351" s="36">
        <v>0</v>
      </c>
      <c r="E351" s="36">
        <v>0</v>
      </c>
      <c r="F351" s="36">
        <v>0</v>
      </c>
      <c r="G351" s="36">
        <v>0</v>
      </c>
      <c r="H351" s="36">
        <v>0</v>
      </c>
      <c r="I351" s="36">
        <v>0</v>
      </c>
      <c r="J351" s="37">
        <f t="shared" si="31"/>
        <v>0</v>
      </c>
      <c r="K351" s="37">
        <f t="shared" si="32"/>
        <v>0</v>
      </c>
      <c r="L351" s="38" t="e">
        <v>#DIV/0!</v>
      </c>
      <c r="M351" s="39">
        <v>0</v>
      </c>
      <c r="N351" s="35" t="str">
        <f t="shared" si="33"/>
        <v>Kurang</v>
      </c>
      <c r="O351" s="35" t="str">
        <f t="shared" si="34"/>
        <v>Isi Rekomendasi</v>
      </c>
    </row>
    <row r="352" spans="1:15" x14ac:dyDescent="0.25">
      <c r="A352" s="35"/>
      <c r="B352" s="35" t="s">
        <v>589</v>
      </c>
      <c r="C352" s="35" t="s">
        <v>307</v>
      </c>
      <c r="D352" s="36">
        <v>0</v>
      </c>
      <c r="E352" s="36">
        <v>0</v>
      </c>
      <c r="F352" s="36">
        <v>0</v>
      </c>
      <c r="G352" s="36">
        <v>0</v>
      </c>
      <c r="H352" s="36">
        <v>0</v>
      </c>
      <c r="I352" s="36">
        <v>0</v>
      </c>
      <c r="J352" s="37">
        <f t="shared" si="31"/>
        <v>0</v>
      </c>
      <c r="K352" s="37">
        <f t="shared" si="32"/>
        <v>0</v>
      </c>
      <c r="L352" s="38" t="e">
        <v>#DIV/0!</v>
      </c>
      <c r="M352" s="39">
        <v>0</v>
      </c>
      <c r="N352" s="35" t="str">
        <f t="shared" si="33"/>
        <v>Kurang</v>
      </c>
      <c r="O352" s="35" t="str">
        <f t="shared" si="34"/>
        <v>Isi Rekomendasi</v>
      </c>
    </row>
    <row r="353" spans="1:15" x14ac:dyDescent="0.25">
      <c r="A353" s="35"/>
      <c r="B353" s="35" t="s">
        <v>590</v>
      </c>
      <c r="C353" s="35" t="s">
        <v>307</v>
      </c>
      <c r="D353" s="36">
        <v>0</v>
      </c>
      <c r="E353" s="36">
        <v>0</v>
      </c>
      <c r="F353" s="36">
        <v>0</v>
      </c>
      <c r="G353" s="36">
        <v>0</v>
      </c>
      <c r="H353" s="36">
        <v>0</v>
      </c>
      <c r="I353" s="36">
        <v>0</v>
      </c>
      <c r="J353" s="37">
        <f t="shared" si="31"/>
        <v>0</v>
      </c>
      <c r="K353" s="37">
        <f t="shared" si="32"/>
        <v>0</v>
      </c>
      <c r="L353" s="38" t="e">
        <v>#DIV/0!</v>
      </c>
      <c r="M353" s="39">
        <v>0</v>
      </c>
      <c r="N353" s="35" t="str">
        <f t="shared" si="33"/>
        <v>Kurang</v>
      </c>
      <c r="O353" s="35" t="str">
        <f t="shared" si="34"/>
        <v>Isi Rekomendasi</v>
      </c>
    </row>
    <row r="354" spans="1:15" x14ac:dyDescent="0.25">
      <c r="A354" s="35"/>
      <c r="B354" s="35" t="s">
        <v>591</v>
      </c>
      <c r="C354" s="35" t="s">
        <v>307</v>
      </c>
      <c r="D354" s="36">
        <v>0</v>
      </c>
      <c r="E354" s="36">
        <v>0</v>
      </c>
      <c r="F354" s="36">
        <v>0</v>
      </c>
      <c r="G354" s="36">
        <v>0</v>
      </c>
      <c r="H354" s="36">
        <v>0</v>
      </c>
      <c r="I354" s="36">
        <v>0</v>
      </c>
      <c r="J354" s="37">
        <f t="shared" si="31"/>
        <v>0</v>
      </c>
      <c r="K354" s="37">
        <f t="shared" si="32"/>
        <v>0</v>
      </c>
      <c r="L354" s="38" t="e">
        <v>#DIV/0!</v>
      </c>
      <c r="M354" s="39">
        <v>0</v>
      </c>
      <c r="N354" s="35" t="str">
        <f t="shared" si="33"/>
        <v>Kurang</v>
      </c>
      <c r="O354" s="35" t="str">
        <f t="shared" si="34"/>
        <v>Isi Rekomendasi</v>
      </c>
    </row>
    <row r="355" spans="1:15" x14ac:dyDescent="0.25">
      <c r="A355" s="35"/>
      <c r="B355" s="35" t="s">
        <v>592</v>
      </c>
      <c r="C355" s="35" t="s">
        <v>307</v>
      </c>
      <c r="D355" s="36">
        <v>0</v>
      </c>
      <c r="E355" s="36">
        <v>0</v>
      </c>
      <c r="F355" s="36">
        <v>0</v>
      </c>
      <c r="G355" s="36">
        <v>0</v>
      </c>
      <c r="H355" s="36">
        <v>0</v>
      </c>
      <c r="I355" s="36">
        <v>0</v>
      </c>
      <c r="J355" s="37">
        <f t="shared" si="31"/>
        <v>0</v>
      </c>
      <c r="K355" s="37">
        <f t="shared" si="32"/>
        <v>0</v>
      </c>
      <c r="L355" s="38" t="e">
        <v>#DIV/0!</v>
      </c>
      <c r="M355" s="39">
        <v>0</v>
      </c>
      <c r="N355" s="35" t="str">
        <f t="shared" si="33"/>
        <v>Kurang</v>
      </c>
      <c r="O355" s="35" t="str">
        <f t="shared" si="34"/>
        <v>Isi Rekomendasi</v>
      </c>
    </row>
    <row r="356" spans="1:15" x14ac:dyDescent="0.25">
      <c r="A356" s="35"/>
      <c r="B356" s="35" t="s">
        <v>593</v>
      </c>
      <c r="C356" s="35" t="s">
        <v>307</v>
      </c>
      <c r="D356" s="36">
        <v>0</v>
      </c>
      <c r="E356" s="36">
        <v>0</v>
      </c>
      <c r="F356" s="36">
        <v>0</v>
      </c>
      <c r="G356" s="36">
        <v>0</v>
      </c>
      <c r="H356" s="36">
        <v>0</v>
      </c>
      <c r="I356" s="36">
        <v>0</v>
      </c>
      <c r="J356" s="37">
        <f t="shared" si="31"/>
        <v>0</v>
      </c>
      <c r="K356" s="37">
        <f t="shared" si="32"/>
        <v>0</v>
      </c>
      <c r="L356" s="38" t="e">
        <v>#DIV/0!</v>
      </c>
      <c r="M356" s="39">
        <v>0</v>
      </c>
      <c r="N356" s="35" t="str">
        <f t="shared" si="33"/>
        <v>Kurang</v>
      </c>
      <c r="O356" s="35" t="str">
        <f t="shared" si="34"/>
        <v>Isi Rekomendasi</v>
      </c>
    </row>
    <row r="357" spans="1:15" x14ac:dyDescent="0.25">
      <c r="A357" s="35"/>
      <c r="B357" s="35" t="s">
        <v>594</v>
      </c>
      <c r="C357" s="35" t="s">
        <v>307</v>
      </c>
      <c r="D357" s="36">
        <v>0</v>
      </c>
      <c r="E357" s="36">
        <v>0</v>
      </c>
      <c r="F357" s="36">
        <v>0</v>
      </c>
      <c r="G357" s="36">
        <v>0</v>
      </c>
      <c r="H357" s="36">
        <v>0</v>
      </c>
      <c r="I357" s="36">
        <v>0</v>
      </c>
      <c r="J357" s="37">
        <f t="shared" si="31"/>
        <v>0</v>
      </c>
      <c r="K357" s="37">
        <f t="shared" si="32"/>
        <v>0</v>
      </c>
      <c r="L357" s="38" t="e">
        <v>#DIV/0!</v>
      </c>
      <c r="M357" s="39">
        <v>0</v>
      </c>
      <c r="N357" s="35" t="str">
        <f t="shared" si="33"/>
        <v>Kurang</v>
      </c>
      <c r="O357" s="35" t="str">
        <f t="shared" si="34"/>
        <v>Isi Rekomendasi</v>
      </c>
    </row>
    <row r="358" spans="1:15" x14ac:dyDescent="0.25">
      <c r="A358" s="35"/>
      <c r="B358" s="35" t="s">
        <v>595</v>
      </c>
      <c r="C358" s="35" t="s">
        <v>307</v>
      </c>
      <c r="D358" s="36">
        <v>0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7">
        <f t="shared" si="31"/>
        <v>0</v>
      </c>
      <c r="K358" s="37">
        <f t="shared" si="32"/>
        <v>0</v>
      </c>
      <c r="L358" s="38" t="e">
        <v>#DIV/0!</v>
      </c>
      <c r="M358" s="39">
        <v>0</v>
      </c>
      <c r="N358" s="35" t="str">
        <f t="shared" si="33"/>
        <v>Kurang</v>
      </c>
      <c r="O358" s="35" t="str">
        <f t="shared" si="34"/>
        <v>Isi Rekomendasi</v>
      </c>
    </row>
    <row r="359" spans="1:15" x14ac:dyDescent="0.25">
      <c r="A359" s="35"/>
      <c r="B359" s="35" t="s">
        <v>596</v>
      </c>
      <c r="C359" s="35" t="s">
        <v>307</v>
      </c>
      <c r="D359" s="36">
        <v>0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7">
        <f t="shared" si="31"/>
        <v>0</v>
      </c>
      <c r="K359" s="37">
        <f t="shared" si="32"/>
        <v>0</v>
      </c>
      <c r="L359" s="38" t="e">
        <v>#DIV/0!</v>
      </c>
      <c r="M359" s="39">
        <v>0</v>
      </c>
      <c r="N359" s="35" t="str">
        <f t="shared" si="33"/>
        <v>Kurang</v>
      </c>
      <c r="O359" s="35" t="str">
        <f t="shared" si="34"/>
        <v>Isi Rekomendasi</v>
      </c>
    </row>
    <row r="360" spans="1:15" x14ac:dyDescent="0.25">
      <c r="A360" s="35"/>
      <c r="B360" s="35" t="s">
        <v>597</v>
      </c>
      <c r="C360" s="35" t="s">
        <v>307</v>
      </c>
      <c r="D360" s="36">
        <v>0</v>
      </c>
      <c r="E360" s="36">
        <v>0</v>
      </c>
      <c r="F360" s="36">
        <v>0</v>
      </c>
      <c r="G360" s="36">
        <v>0</v>
      </c>
      <c r="H360" s="36">
        <v>0</v>
      </c>
      <c r="I360" s="36">
        <v>0</v>
      </c>
      <c r="J360" s="37">
        <f t="shared" si="31"/>
        <v>0</v>
      </c>
      <c r="K360" s="37">
        <f t="shared" si="32"/>
        <v>0</v>
      </c>
      <c r="L360" s="38" t="e">
        <v>#DIV/0!</v>
      </c>
      <c r="M360" s="39">
        <v>0</v>
      </c>
      <c r="N360" s="35" t="str">
        <f t="shared" si="33"/>
        <v>Kurang</v>
      </c>
      <c r="O360" s="35" t="str">
        <f t="shared" si="34"/>
        <v>Isi Rekomendasi</v>
      </c>
    </row>
    <row r="361" spans="1:15" x14ac:dyDescent="0.25">
      <c r="A361" s="35"/>
      <c r="B361" s="35" t="s">
        <v>598</v>
      </c>
      <c r="C361" s="35" t="s">
        <v>307</v>
      </c>
      <c r="D361" s="36">
        <v>0</v>
      </c>
      <c r="E361" s="36">
        <v>0</v>
      </c>
      <c r="F361" s="36">
        <v>0</v>
      </c>
      <c r="G361" s="36">
        <v>0</v>
      </c>
      <c r="H361" s="36">
        <v>0</v>
      </c>
      <c r="I361" s="36">
        <v>0</v>
      </c>
      <c r="J361" s="37">
        <f t="shared" si="31"/>
        <v>0</v>
      </c>
      <c r="K361" s="37">
        <f t="shared" si="32"/>
        <v>0</v>
      </c>
      <c r="L361" s="38" t="e">
        <v>#DIV/0!</v>
      </c>
      <c r="M361" s="39">
        <v>0</v>
      </c>
      <c r="N361" s="35" t="str">
        <f t="shared" si="33"/>
        <v>Kurang</v>
      </c>
      <c r="O361" s="35" t="str">
        <f t="shared" si="34"/>
        <v>Isi Rekomendasi</v>
      </c>
    </row>
    <row r="362" spans="1:15" x14ac:dyDescent="0.25">
      <c r="A362" s="35"/>
      <c r="B362" s="35" t="s">
        <v>382</v>
      </c>
      <c r="C362" s="35" t="s">
        <v>307</v>
      </c>
      <c r="D362" s="36">
        <v>3</v>
      </c>
      <c r="E362" s="36">
        <v>0</v>
      </c>
      <c r="F362" s="36">
        <v>3</v>
      </c>
      <c r="G362" s="36">
        <v>0</v>
      </c>
      <c r="H362" s="36">
        <v>0</v>
      </c>
      <c r="I362" s="36">
        <v>0</v>
      </c>
      <c r="J362" s="37">
        <f t="shared" si="31"/>
        <v>6</v>
      </c>
      <c r="K362" s="37">
        <f t="shared" si="32"/>
        <v>0</v>
      </c>
      <c r="L362" s="38">
        <f>K362/J362</f>
        <v>0</v>
      </c>
      <c r="M362" s="39" t="str">
        <f t="shared" si="35"/>
        <v>0,5</v>
      </c>
      <c r="N362" s="35" t="str">
        <f t="shared" si="33"/>
        <v>Cukup</v>
      </c>
      <c r="O362" s="35" t="str">
        <f t="shared" si="34"/>
        <v>Terlampir Pada LHE ZI</v>
      </c>
    </row>
    <row r="363" spans="1:15" x14ac:dyDescent="0.25">
      <c r="A363" s="35"/>
      <c r="B363" s="35" t="s">
        <v>599</v>
      </c>
      <c r="C363" s="35" t="s">
        <v>307</v>
      </c>
      <c r="D363" s="36">
        <v>0</v>
      </c>
      <c r="E363" s="36">
        <v>0</v>
      </c>
      <c r="F363" s="36">
        <v>0</v>
      </c>
      <c r="G363" s="36">
        <v>0</v>
      </c>
      <c r="H363" s="36">
        <v>0</v>
      </c>
      <c r="I363" s="36">
        <v>0</v>
      </c>
      <c r="J363" s="37">
        <f t="shared" si="31"/>
        <v>0</v>
      </c>
      <c r="K363" s="37">
        <f t="shared" si="32"/>
        <v>0</v>
      </c>
      <c r="L363" s="38" t="e">
        <v>#DIV/0!</v>
      </c>
      <c r="M363" s="39">
        <v>0</v>
      </c>
      <c r="N363" s="35" t="str">
        <f t="shared" si="33"/>
        <v>Kurang</v>
      </c>
      <c r="O363" s="35" t="str">
        <f t="shared" si="34"/>
        <v>Isi Rekomendasi</v>
      </c>
    </row>
    <row r="364" spans="1:15" x14ac:dyDescent="0.25">
      <c r="A364" s="35"/>
      <c r="B364" s="35" t="s">
        <v>600</v>
      </c>
      <c r="C364" s="35" t="s">
        <v>307</v>
      </c>
      <c r="D364" s="36">
        <v>0</v>
      </c>
      <c r="E364" s="36">
        <v>0</v>
      </c>
      <c r="F364" s="36">
        <v>0</v>
      </c>
      <c r="G364" s="36">
        <v>0</v>
      </c>
      <c r="H364" s="36">
        <v>0</v>
      </c>
      <c r="I364" s="36">
        <v>0</v>
      </c>
      <c r="J364" s="37">
        <f t="shared" si="31"/>
        <v>0</v>
      </c>
      <c r="K364" s="37">
        <f t="shared" si="32"/>
        <v>0</v>
      </c>
      <c r="L364" s="38" t="e">
        <v>#DIV/0!</v>
      </c>
      <c r="M364" s="39">
        <v>0</v>
      </c>
      <c r="N364" s="35" t="str">
        <f t="shared" si="33"/>
        <v>Kurang</v>
      </c>
      <c r="O364" s="35" t="str">
        <f t="shared" si="34"/>
        <v>Isi Rekomendasi</v>
      </c>
    </row>
    <row r="365" spans="1:15" x14ac:dyDescent="0.25">
      <c r="A365" s="35"/>
      <c r="B365" s="35" t="s">
        <v>601</v>
      </c>
      <c r="C365" s="35" t="s">
        <v>307</v>
      </c>
      <c r="D365" s="36">
        <v>0</v>
      </c>
      <c r="E365" s="36">
        <v>0</v>
      </c>
      <c r="F365" s="36">
        <v>0</v>
      </c>
      <c r="G365" s="36">
        <v>0</v>
      </c>
      <c r="H365" s="36">
        <v>0</v>
      </c>
      <c r="I365" s="36">
        <v>0</v>
      </c>
      <c r="J365" s="37">
        <f t="shared" si="31"/>
        <v>0</v>
      </c>
      <c r="K365" s="37">
        <f t="shared" si="32"/>
        <v>0</v>
      </c>
      <c r="L365" s="38" t="e">
        <v>#DIV/0!</v>
      </c>
      <c r="M365" s="39">
        <v>0</v>
      </c>
      <c r="N365" s="35" t="str">
        <f t="shared" si="33"/>
        <v>Kurang</v>
      </c>
      <c r="O365" s="35" t="str">
        <f t="shared" si="34"/>
        <v>Isi Rekomendasi</v>
      </c>
    </row>
    <row r="366" spans="1:15" x14ac:dyDescent="0.25">
      <c r="A366" s="35"/>
      <c r="B366" s="35" t="s">
        <v>602</v>
      </c>
      <c r="C366" s="35" t="s">
        <v>307</v>
      </c>
      <c r="D366" s="36">
        <v>0</v>
      </c>
      <c r="E366" s="36">
        <v>0</v>
      </c>
      <c r="F366" s="36">
        <v>0</v>
      </c>
      <c r="G366" s="36">
        <v>0</v>
      </c>
      <c r="H366" s="36">
        <v>0</v>
      </c>
      <c r="I366" s="36">
        <v>0</v>
      </c>
      <c r="J366" s="37">
        <f t="shared" si="31"/>
        <v>0</v>
      </c>
      <c r="K366" s="37">
        <f t="shared" si="32"/>
        <v>0</v>
      </c>
      <c r="L366" s="38" t="e">
        <v>#DIV/0!</v>
      </c>
      <c r="M366" s="39">
        <v>0</v>
      </c>
      <c r="N366" s="35" t="str">
        <f t="shared" si="33"/>
        <v>Kurang</v>
      </c>
      <c r="O366" s="35" t="str">
        <f t="shared" si="34"/>
        <v>Isi Rekomendasi</v>
      </c>
    </row>
    <row r="367" spans="1:15" x14ac:dyDescent="0.25">
      <c r="A367" s="35"/>
      <c r="B367" s="35" t="s">
        <v>603</v>
      </c>
      <c r="C367" s="35" t="s">
        <v>307</v>
      </c>
      <c r="D367" s="36">
        <v>0</v>
      </c>
      <c r="E367" s="36">
        <v>0</v>
      </c>
      <c r="F367" s="36">
        <v>0</v>
      </c>
      <c r="G367" s="36">
        <v>0</v>
      </c>
      <c r="H367" s="36">
        <v>0</v>
      </c>
      <c r="I367" s="36">
        <v>0</v>
      </c>
      <c r="J367" s="37">
        <f t="shared" si="31"/>
        <v>0</v>
      </c>
      <c r="K367" s="37">
        <f t="shared" si="32"/>
        <v>0</v>
      </c>
      <c r="L367" s="38" t="e">
        <v>#DIV/0!</v>
      </c>
      <c r="M367" s="39">
        <v>0</v>
      </c>
      <c r="N367" s="35" t="str">
        <f t="shared" si="33"/>
        <v>Kurang</v>
      </c>
      <c r="O367" s="35" t="str">
        <f t="shared" si="34"/>
        <v>Isi Rekomendasi</v>
      </c>
    </row>
    <row r="368" spans="1:15" x14ac:dyDescent="0.25">
      <c r="A368" s="35"/>
      <c r="B368" s="35" t="s">
        <v>604</v>
      </c>
      <c r="C368" s="35" t="s">
        <v>307</v>
      </c>
      <c r="D368" s="36">
        <v>0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7">
        <f t="shared" si="31"/>
        <v>0</v>
      </c>
      <c r="K368" s="37">
        <f t="shared" si="32"/>
        <v>0</v>
      </c>
      <c r="L368" s="38" t="e">
        <v>#DIV/0!</v>
      </c>
      <c r="M368" s="39">
        <v>0</v>
      </c>
      <c r="N368" s="35" t="str">
        <f t="shared" si="33"/>
        <v>Kurang</v>
      </c>
      <c r="O368" s="35" t="str">
        <f t="shared" si="34"/>
        <v>Isi Rekomendasi</v>
      </c>
    </row>
    <row r="369" spans="1:15" x14ac:dyDescent="0.25">
      <c r="A369" s="35"/>
      <c r="B369" s="35" t="s">
        <v>605</v>
      </c>
      <c r="C369" s="35" t="s">
        <v>307</v>
      </c>
      <c r="D369" s="36">
        <v>0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7">
        <f t="shared" si="31"/>
        <v>0</v>
      </c>
      <c r="K369" s="37">
        <f t="shared" si="32"/>
        <v>0</v>
      </c>
      <c r="L369" s="38" t="e">
        <v>#DIV/0!</v>
      </c>
      <c r="M369" s="39">
        <v>0</v>
      </c>
      <c r="N369" s="35" t="str">
        <f t="shared" si="33"/>
        <v>Kurang</v>
      </c>
      <c r="O369" s="35" t="str">
        <f t="shared" si="34"/>
        <v>Isi Rekomendasi</v>
      </c>
    </row>
    <row r="370" spans="1:15" x14ac:dyDescent="0.25">
      <c r="A370" s="35"/>
      <c r="B370" s="35" t="s">
        <v>606</v>
      </c>
      <c r="C370" s="35" t="s">
        <v>307</v>
      </c>
      <c r="D370" s="36">
        <v>0</v>
      </c>
      <c r="E370" s="36">
        <v>0</v>
      </c>
      <c r="F370" s="36">
        <v>0</v>
      </c>
      <c r="G370" s="36">
        <v>0</v>
      </c>
      <c r="H370" s="36">
        <v>0</v>
      </c>
      <c r="I370" s="36">
        <v>0</v>
      </c>
      <c r="J370" s="37">
        <f t="shared" si="31"/>
        <v>0</v>
      </c>
      <c r="K370" s="37">
        <f t="shared" si="32"/>
        <v>0</v>
      </c>
      <c r="L370" s="38" t="e">
        <v>#DIV/0!</v>
      </c>
      <c r="M370" s="39">
        <v>0</v>
      </c>
      <c r="N370" s="35" t="str">
        <f t="shared" si="33"/>
        <v>Kurang</v>
      </c>
      <c r="O370" s="35" t="str">
        <f t="shared" si="34"/>
        <v>Isi Rekomendasi</v>
      </c>
    </row>
    <row r="371" spans="1:15" x14ac:dyDescent="0.25">
      <c r="A371" s="35"/>
      <c r="B371" s="35" t="s">
        <v>607</v>
      </c>
      <c r="C371" s="35" t="s">
        <v>307</v>
      </c>
      <c r="D371" s="36">
        <v>0</v>
      </c>
      <c r="E371" s="36">
        <v>0</v>
      </c>
      <c r="F371" s="36">
        <v>0</v>
      </c>
      <c r="G371" s="36">
        <v>0</v>
      </c>
      <c r="H371" s="36">
        <v>0</v>
      </c>
      <c r="I371" s="36">
        <v>0</v>
      </c>
      <c r="J371" s="37">
        <f t="shared" si="31"/>
        <v>0</v>
      </c>
      <c r="K371" s="37">
        <f t="shared" si="32"/>
        <v>0</v>
      </c>
      <c r="L371" s="38" t="e">
        <v>#DIV/0!</v>
      </c>
      <c r="M371" s="39">
        <v>0</v>
      </c>
      <c r="N371" s="35" t="str">
        <f t="shared" si="33"/>
        <v>Kurang</v>
      </c>
      <c r="O371" s="35" t="str">
        <f t="shared" si="34"/>
        <v>Isi Rekomendasi</v>
      </c>
    </row>
    <row r="372" spans="1:15" x14ac:dyDescent="0.25">
      <c r="A372" s="35"/>
      <c r="B372" s="35" t="s">
        <v>608</v>
      </c>
      <c r="C372" s="35" t="s">
        <v>307</v>
      </c>
      <c r="D372" s="36">
        <v>0</v>
      </c>
      <c r="E372" s="36">
        <v>0</v>
      </c>
      <c r="F372" s="36">
        <v>0</v>
      </c>
      <c r="G372" s="36">
        <v>0</v>
      </c>
      <c r="H372" s="36">
        <v>0</v>
      </c>
      <c r="I372" s="36">
        <v>0</v>
      </c>
      <c r="J372" s="37">
        <f t="shared" si="31"/>
        <v>0</v>
      </c>
      <c r="K372" s="37">
        <f t="shared" si="32"/>
        <v>0</v>
      </c>
      <c r="L372" s="38" t="e">
        <v>#DIV/0!</v>
      </c>
      <c r="M372" s="39">
        <v>0</v>
      </c>
      <c r="N372" s="35" t="str">
        <f t="shared" si="33"/>
        <v>Kurang</v>
      </c>
      <c r="O372" s="35" t="str">
        <f t="shared" si="34"/>
        <v>Isi Rekomendasi</v>
      </c>
    </row>
    <row r="373" spans="1:15" x14ac:dyDescent="0.25">
      <c r="A373" s="35"/>
      <c r="B373" s="35" t="s">
        <v>609</v>
      </c>
      <c r="C373" s="35" t="s">
        <v>307</v>
      </c>
      <c r="D373" s="36">
        <v>0</v>
      </c>
      <c r="E373" s="36">
        <v>0</v>
      </c>
      <c r="F373" s="36">
        <v>0</v>
      </c>
      <c r="G373" s="36">
        <v>0</v>
      </c>
      <c r="H373" s="36">
        <v>0</v>
      </c>
      <c r="I373" s="36">
        <v>0</v>
      </c>
      <c r="J373" s="37">
        <f t="shared" si="31"/>
        <v>0</v>
      </c>
      <c r="K373" s="37">
        <f t="shared" si="32"/>
        <v>0</v>
      </c>
      <c r="L373" s="38" t="e">
        <v>#DIV/0!</v>
      </c>
      <c r="M373" s="39">
        <v>0</v>
      </c>
      <c r="N373" s="35" t="str">
        <f t="shared" si="33"/>
        <v>Kurang</v>
      </c>
      <c r="O373" s="35" t="str">
        <f t="shared" si="34"/>
        <v>Isi Rekomendasi</v>
      </c>
    </row>
    <row r="374" spans="1:15" x14ac:dyDescent="0.25">
      <c r="A374" s="35"/>
      <c r="B374" s="35" t="s">
        <v>610</v>
      </c>
      <c r="C374" s="35" t="s">
        <v>307</v>
      </c>
      <c r="D374" s="36">
        <v>0</v>
      </c>
      <c r="E374" s="36">
        <v>0</v>
      </c>
      <c r="F374" s="36">
        <v>0</v>
      </c>
      <c r="G374" s="36">
        <v>0</v>
      </c>
      <c r="H374" s="36">
        <v>0</v>
      </c>
      <c r="I374" s="36">
        <v>0</v>
      </c>
      <c r="J374" s="37">
        <f t="shared" si="31"/>
        <v>0</v>
      </c>
      <c r="K374" s="37">
        <f t="shared" si="32"/>
        <v>0</v>
      </c>
      <c r="L374" s="38" t="e">
        <v>#DIV/0!</v>
      </c>
      <c r="M374" s="39">
        <v>0</v>
      </c>
      <c r="N374" s="35" t="str">
        <f t="shared" si="33"/>
        <v>Kurang</v>
      </c>
      <c r="O374" s="35" t="str">
        <f t="shared" si="34"/>
        <v>Isi Rekomendasi</v>
      </c>
    </row>
    <row r="375" spans="1:15" x14ac:dyDescent="0.25">
      <c r="A375" s="35"/>
      <c r="B375" s="35" t="s">
        <v>611</v>
      </c>
      <c r="C375" s="35" t="s">
        <v>307</v>
      </c>
      <c r="D375" s="36">
        <v>0</v>
      </c>
      <c r="E375" s="36">
        <v>0</v>
      </c>
      <c r="F375" s="36">
        <v>0</v>
      </c>
      <c r="G375" s="36">
        <v>0</v>
      </c>
      <c r="H375" s="36">
        <v>0</v>
      </c>
      <c r="I375" s="36">
        <v>0</v>
      </c>
      <c r="J375" s="37">
        <f t="shared" si="31"/>
        <v>0</v>
      </c>
      <c r="K375" s="37">
        <f t="shared" si="32"/>
        <v>0</v>
      </c>
      <c r="L375" s="38" t="e">
        <v>#DIV/0!</v>
      </c>
      <c r="M375" s="39">
        <v>0</v>
      </c>
      <c r="N375" s="35" t="str">
        <f t="shared" si="33"/>
        <v>Kurang</v>
      </c>
      <c r="O375" s="35" t="str">
        <f t="shared" si="34"/>
        <v>Isi Rekomendasi</v>
      </c>
    </row>
    <row r="376" spans="1:15" x14ac:dyDescent="0.25">
      <c r="A376" s="35"/>
      <c r="B376" s="35" t="s">
        <v>612</v>
      </c>
      <c r="C376" s="35" t="s">
        <v>307</v>
      </c>
      <c r="D376" s="36">
        <v>0</v>
      </c>
      <c r="E376" s="36">
        <v>0</v>
      </c>
      <c r="F376" s="36">
        <v>0</v>
      </c>
      <c r="G376" s="36">
        <v>0</v>
      </c>
      <c r="H376" s="36">
        <v>0</v>
      </c>
      <c r="I376" s="36">
        <v>0</v>
      </c>
      <c r="J376" s="37">
        <f t="shared" si="31"/>
        <v>0</v>
      </c>
      <c r="K376" s="37">
        <f t="shared" si="32"/>
        <v>0</v>
      </c>
      <c r="L376" s="38" t="e">
        <v>#DIV/0!</v>
      </c>
      <c r="M376" s="39">
        <v>0</v>
      </c>
      <c r="N376" s="35" t="str">
        <f t="shared" si="33"/>
        <v>Kurang</v>
      </c>
      <c r="O376" s="35" t="str">
        <f t="shared" si="34"/>
        <v>Isi Rekomendasi</v>
      </c>
    </row>
    <row r="377" spans="1:15" x14ac:dyDescent="0.25">
      <c r="A377" s="35"/>
      <c r="B377" s="35" t="s">
        <v>613</v>
      </c>
      <c r="C377" s="35" t="s">
        <v>307</v>
      </c>
      <c r="D377" s="36">
        <v>0</v>
      </c>
      <c r="E377" s="36">
        <v>0</v>
      </c>
      <c r="F377" s="36">
        <v>0</v>
      </c>
      <c r="G377" s="36">
        <v>0</v>
      </c>
      <c r="H377" s="36">
        <v>0</v>
      </c>
      <c r="I377" s="36">
        <v>0</v>
      </c>
      <c r="J377" s="37">
        <f t="shared" si="31"/>
        <v>0</v>
      </c>
      <c r="K377" s="37">
        <f t="shared" si="32"/>
        <v>0</v>
      </c>
      <c r="L377" s="38" t="e">
        <v>#DIV/0!</v>
      </c>
      <c r="M377" s="39">
        <v>0</v>
      </c>
      <c r="N377" s="35" t="str">
        <f t="shared" si="33"/>
        <v>Kurang</v>
      </c>
      <c r="O377" s="35" t="str">
        <f t="shared" si="34"/>
        <v>Isi Rekomendasi</v>
      </c>
    </row>
    <row r="378" spans="1:15" x14ac:dyDescent="0.25">
      <c r="A378" s="35"/>
      <c r="B378" s="35" t="s">
        <v>614</v>
      </c>
      <c r="C378" s="35" t="s">
        <v>307</v>
      </c>
      <c r="D378" s="36">
        <v>0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7">
        <f t="shared" si="31"/>
        <v>0</v>
      </c>
      <c r="K378" s="37">
        <f t="shared" si="32"/>
        <v>0</v>
      </c>
      <c r="L378" s="38" t="e">
        <v>#DIV/0!</v>
      </c>
      <c r="M378" s="39">
        <v>0</v>
      </c>
      <c r="N378" s="35" t="str">
        <f t="shared" si="33"/>
        <v>Kurang</v>
      </c>
      <c r="O378" s="35" t="str">
        <f t="shared" si="34"/>
        <v>Isi Rekomendasi</v>
      </c>
    </row>
    <row r="379" spans="1:15" x14ac:dyDescent="0.25">
      <c r="A379" s="35"/>
      <c r="B379" s="35" t="s">
        <v>134</v>
      </c>
      <c r="C379" s="35" t="s">
        <v>307</v>
      </c>
      <c r="D379" s="36">
        <v>0</v>
      </c>
      <c r="E379" s="36">
        <v>0</v>
      </c>
      <c r="F379" s="36">
        <v>0</v>
      </c>
      <c r="G379" s="36">
        <v>0</v>
      </c>
      <c r="H379" s="36">
        <v>1</v>
      </c>
      <c r="I379" s="36">
        <v>0</v>
      </c>
      <c r="J379" s="37">
        <f t="shared" si="31"/>
        <v>1</v>
      </c>
      <c r="K379" s="37">
        <f t="shared" si="32"/>
        <v>0</v>
      </c>
      <c r="L379" s="38">
        <f>K379/J379</f>
        <v>0</v>
      </c>
      <c r="M379" s="39" t="str">
        <f t="shared" si="35"/>
        <v>0,5</v>
      </c>
      <c r="N379" s="35" t="str">
        <f t="shared" si="33"/>
        <v>Cukup</v>
      </c>
      <c r="O379" s="35" t="str">
        <f t="shared" si="34"/>
        <v>Terlampir Pada LHE ZI</v>
      </c>
    </row>
    <row r="380" spans="1:15" x14ac:dyDescent="0.25">
      <c r="A380" s="35"/>
      <c r="B380" s="35" t="s">
        <v>615</v>
      </c>
      <c r="C380" s="35" t="s">
        <v>307</v>
      </c>
      <c r="D380" s="36">
        <v>0</v>
      </c>
      <c r="E380" s="36">
        <v>0</v>
      </c>
      <c r="F380" s="36">
        <v>0</v>
      </c>
      <c r="G380" s="36">
        <v>0</v>
      </c>
      <c r="H380" s="36">
        <v>0</v>
      </c>
      <c r="I380" s="36">
        <v>0</v>
      </c>
      <c r="J380" s="37">
        <f t="shared" si="31"/>
        <v>0</v>
      </c>
      <c r="K380" s="37">
        <f t="shared" si="32"/>
        <v>0</v>
      </c>
      <c r="L380" s="38" t="e">
        <v>#DIV/0!</v>
      </c>
      <c r="M380" s="39">
        <v>0</v>
      </c>
      <c r="N380" s="35" t="str">
        <f t="shared" si="33"/>
        <v>Kurang</v>
      </c>
      <c r="O380" s="35" t="str">
        <f t="shared" si="34"/>
        <v>Isi Rekomendasi</v>
      </c>
    </row>
    <row r="381" spans="1:15" x14ac:dyDescent="0.25">
      <c r="A381" s="35"/>
      <c r="B381" s="35" t="s">
        <v>616</v>
      </c>
      <c r="C381" s="35" t="s">
        <v>307</v>
      </c>
      <c r="D381" s="36">
        <v>0</v>
      </c>
      <c r="E381" s="36">
        <v>0</v>
      </c>
      <c r="F381" s="36">
        <v>0</v>
      </c>
      <c r="G381" s="36">
        <v>0</v>
      </c>
      <c r="H381" s="36">
        <v>0</v>
      </c>
      <c r="I381" s="36">
        <v>0</v>
      </c>
      <c r="J381" s="37">
        <f t="shared" si="31"/>
        <v>0</v>
      </c>
      <c r="K381" s="37">
        <f t="shared" si="32"/>
        <v>0</v>
      </c>
      <c r="L381" s="38" t="e">
        <v>#DIV/0!</v>
      </c>
      <c r="M381" s="39">
        <v>0</v>
      </c>
      <c r="N381" s="35" t="str">
        <f t="shared" si="33"/>
        <v>Kurang</v>
      </c>
      <c r="O381" s="35" t="str">
        <f t="shared" si="34"/>
        <v>Isi Rekomendasi</v>
      </c>
    </row>
    <row r="382" spans="1:15" x14ac:dyDescent="0.25">
      <c r="A382" s="35"/>
      <c r="B382" s="35" t="s">
        <v>135</v>
      </c>
      <c r="C382" s="35" t="s">
        <v>307</v>
      </c>
      <c r="D382" s="36">
        <v>0</v>
      </c>
      <c r="E382" s="36">
        <v>0</v>
      </c>
      <c r="F382" s="36">
        <v>0</v>
      </c>
      <c r="G382" s="36">
        <v>0</v>
      </c>
      <c r="H382" s="36">
        <v>4</v>
      </c>
      <c r="I382" s="36">
        <v>0</v>
      </c>
      <c r="J382" s="37">
        <f t="shared" si="31"/>
        <v>4</v>
      </c>
      <c r="K382" s="37">
        <f t="shared" si="32"/>
        <v>0</v>
      </c>
      <c r="L382" s="38">
        <f>K382/J382</f>
        <v>0</v>
      </c>
      <c r="M382" s="39" t="str">
        <f t="shared" si="35"/>
        <v>0,5</v>
      </c>
      <c r="N382" s="35" t="str">
        <f t="shared" si="33"/>
        <v>Cukup</v>
      </c>
      <c r="O382" s="35" t="str">
        <f t="shared" si="34"/>
        <v>Terlampir Pada LHE ZI</v>
      </c>
    </row>
    <row r="383" spans="1:15" x14ac:dyDescent="0.25">
      <c r="A383" s="35"/>
      <c r="B383" s="35" t="s">
        <v>617</v>
      </c>
      <c r="C383" s="35" t="s">
        <v>307</v>
      </c>
      <c r="D383" s="36">
        <v>0</v>
      </c>
      <c r="E383" s="36">
        <v>0</v>
      </c>
      <c r="F383" s="36">
        <v>0</v>
      </c>
      <c r="G383" s="36">
        <v>0</v>
      </c>
      <c r="H383" s="36">
        <v>0</v>
      </c>
      <c r="I383" s="36">
        <v>0</v>
      </c>
      <c r="J383" s="37">
        <f t="shared" si="31"/>
        <v>0</v>
      </c>
      <c r="K383" s="37">
        <f t="shared" si="32"/>
        <v>0</v>
      </c>
      <c r="L383" s="38" t="e">
        <v>#DIV/0!</v>
      </c>
      <c r="M383" s="39">
        <v>0</v>
      </c>
      <c r="N383" s="35" t="str">
        <f t="shared" si="33"/>
        <v>Kurang</v>
      </c>
      <c r="O383" s="35" t="str">
        <f t="shared" si="34"/>
        <v>Isi Rekomendasi</v>
      </c>
    </row>
    <row r="384" spans="1:15" x14ac:dyDescent="0.25">
      <c r="A384" s="35"/>
      <c r="B384" s="35" t="s">
        <v>353</v>
      </c>
      <c r="C384" s="35" t="s">
        <v>307</v>
      </c>
      <c r="D384" s="36">
        <v>1</v>
      </c>
      <c r="E384" s="36">
        <v>0</v>
      </c>
      <c r="F384" s="36">
        <v>0</v>
      </c>
      <c r="G384" s="36">
        <v>0</v>
      </c>
      <c r="H384" s="36">
        <v>0</v>
      </c>
      <c r="I384" s="36">
        <v>0</v>
      </c>
      <c r="J384" s="37">
        <f t="shared" si="31"/>
        <v>1</v>
      </c>
      <c r="K384" s="37">
        <f t="shared" si="32"/>
        <v>0</v>
      </c>
      <c r="L384" s="38">
        <f>K384/J384</f>
        <v>0</v>
      </c>
      <c r="M384" s="39" t="str">
        <f t="shared" si="35"/>
        <v>0,5</v>
      </c>
      <c r="N384" s="35" t="str">
        <f t="shared" si="33"/>
        <v>Cukup</v>
      </c>
      <c r="O384" s="35" t="str">
        <f t="shared" si="34"/>
        <v>Terlampir Pada LHE ZI</v>
      </c>
    </row>
    <row r="385" spans="1:15" x14ac:dyDescent="0.25">
      <c r="A385" s="35"/>
      <c r="B385" s="35" t="s">
        <v>618</v>
      </c>
      <c r="C385" s="35" t="s">
        <v>307</v>
      </c>
      <c r="D385" s="36">
        <v>0</v>
      </c>
      <c r="E385" s="36">
        <v>0</v>
      </c>
      <c r="F385" s="36">
        <v>0</v>
      </c>
      <c r="G385" s="36">
        <v>0</v>
      </c>
      <c r="H385" s="36">
        <v>0</v>
      </c>
      <c r="I385" s="36">
        <v>0</v>
      </c>
      <c r="J385" s="37">
        <f t="shared" si="31"/>
        <v>0</v>
      </c>
      <c r="K385" s="37">
        <f t="shared" si="32"/>
        <v>0</v>
      </c>
      <c r="L385" s="38" t="e">
        <v>#DIV/0!</v>
      </c>
      <c r="M385" s="39">
        <v>0</v>
      </c>
      <c r="N385" s="35" t="str">
        <f t="shared" si="33"/>
        <v>Kurang</v>
      </c>
      <c r="O385" s="35" t="str">
        <f t="shared" si="34"/>
        <v>Isi Rekomendasi</v>
      </c>
    </row>
    <row r="386" spans="1:15" x14ac:dyDescent="0.25">
      <c r="A386" s="35"/>
      <c r="B386" s="35" t="s">
        <v>619</v>
      </c>
      <c r="C386" s="35" t="s">
        <v>307</v>
      </c>
      <c r="D386" s="36">
        <v>0</v>
      </c>
      <c r="E386" s="36">
        <v>0</v>
      </c>
      <c r="F386" s="36">
        <v>0</v>
      </c>
      <c r="G386" s="36">
        <v>0</v>
      </c>
      <c r="H386" s="36">
        <v>0</v>
      </c>
      <c r="I386" s="36">
        <v>0</v>
      </c>
      <c r="J386" s="37">
        <f t="shared" si="31"/>
        <v>0</v>
      </c>
      <c r="K386" s="37">
        <f t="shared" si="32"/>
        <v>0</v>
      </c>
      <c r="L386" s="38" t="e">
        <v>#DIV/0!</v>
      </c>
      <c r="M386" s="39">
        <v>0</v>
      </c>
      <c r="N386" s="35" t="str">
        <f t="shared" si="33"/>
        <v>Kurang</v>
      </c>
      <c r="O386" s="35" t="str">
        <f t="shared" si="34"/>
        <v>Isi Rekomendasi</v>
      </c>
    </row>
    <row r="387" spans="1:15" x14ac:dyDescent="0.25">
      <c r="A387" s="35"/>
      <c r="B387" s="35" t="s">
        <v>620</v>
      </c>
      <c r="C387" s="35" t="s">
        <v>307</v>
      </c>
      <c r="D387" s="36">
        <v>0</v>
      </c>
      <c r="E387" s="36">
        <v>0</v>
      </c>
      <c r="F387" s="36">
        <v>0</v>
      </c>
      <c r="G387" s="36">
        <v>0</v>
      </c>
      <c r="H387" s="36">
        <v>0</v>
      </c>
      <c r="I387" s="36">
        <v>0</v>
      </c>
      <c r="J387" s="37">
        <f t="shared" si="31"/>
        <v>0</v>
      </c>
      <c r="K387" s="37">
        <f t="shared" si="32"/>
        <v>0</v>
      </c>
      <c r="L387" s="38" t="e">
        <v>#DIV/0!</v>
      </c>
      <c r="M387" s="39">
        <v>0</v>
      </c>
      <c r="N387" s="35" t="str">
        <f t="shared" si="33"/>
        <v>Kurang</v>
      </c>
      <c r="O387" s="35" t="str">
        <f t="shared" si="34"/>
        <v>Isi Rekomendasi</v>
      </c>
    </row>
    <row r="388" spans="1:15" x14ac:dyDescent="0.25">
      <c r="A388" s="35"/>
      <c r="B388" s="35" t="s">
        <v>136</v>
      </c>
      <c r="C388" s="35" t="s">
        <v>307</v>
      </c>
      <c r="D388" s="36">
        <v>3</v>
      </c>
      <c r="E388" s="36">
        <v>0</v>
      </c>
      <c r="F388" s="36">
        <v>4</v>
      </c>
      <c r="G388" s="36">
        <v>0</v>
      </c>
      <c r="H388" s="36">
        <v>4</v>
      </c>
      <c r="I388" s="36">
        <v>2</v>
      </c>
      <c r="J388" s="37">
        <f t="shared" ref="J388:J451" si="36">D388+F388+H388</f>
        <v>11</v>
      </c>
      <c r="K388" s="37">
        <f t="shared" ref="K388:K451" si="37">E388+G388+I388</f>
        <v>2</v>
      </c>
      <c r="L388" s="38">
        <f t="shared" ref="L388:L393" si="38">K388/J388</f>
        <v>0.18181818181818182</v>
      </c>
      <c r="M388" s="39" t="str">
        <f t="shared" ref="M388:M451" si="39">IF(AND(C388="KL",L388&gt;75%),"3",IF(AND(C388="KL",L388&gt;40%),"2",IF(AND(C388="KL",L388&gt;10%),"1",IF(AND(C388="KL",L388&gt;0.1%),"0,75",IF(AND(C388="KL",L388&gt;=0%),"0,5",IF(AND(C388="Pemda",L388&gt;75%),"3,5",IF(AND(C388="Pemda",L388&gt;40%),"2,5",IF(AND(C388="Pemda",L388&gt;10%),"1,5",IF(AND(C388="Pemda",L388&gt;0.1%),"0,75",IF(AND(C388="Pemda",L388&gt;=0%),"0,5","0"))))))))))</f>
        <v>1,5</v>
      </c>
      <c r="N388" s="35" t="str">
        <f t="shared" ref="N388:N451" si="40">_xlfn.IFS(AND(C388="KL",M388="3"),"Sangat Memuaskan",AND(C388="Pemda",M388="3,5"),"Sangat Memuaskan",AND(C388="KL",M388="2"),"Memuaskan",AND(C388="Pemda",M388="2,5"),"Memuaskan",AND(C388="KL",M388="1"),"Sangat Baik",AND(C388="Pemda",M388="1,5"),"Sangat Baik",AND(C388="KL",M388="0,75"),"Baik",AND(C388="Pemda",M388="0,75"),"Baik",AND(C388="KL",M388="0,5"),"Cukup",AND(C388="Pemda",M388="0,5"),"Cukup",AND(C388="KL",M388&lt;0.5),"Kurang",AND(C388="Pemda",M388&lt;0.5),"Kurang")</f>
        <v>Sangat Baik</v>
      </c>
      <c r="O388" s="35" t="str">
        <f t="shared" ref="O388:O451" si="41">IF(N388="Kurang","Isi Rekomendasi","Terlampir Pada LHE ZI")</f>
        <v>Terlampir Pada LHE ZI</v>
      </c>
    </row>
    <row r="389" spans="1:15" x14ac:dyDescent="0.25">
      <c r="A389" s="35"/>
      <c r="B389" s="35" t="s">
        <v>137</v>
      </c>
      <c r="C389" s="35" t="s">
        <v>307</v>
      </c>
      <c r="D389" s="36">
        <v>0</v>
      </c>
      <c r="E389" s="36">
        <v>0</v>
      </c>
      <c r="F389" s="36">
        <v>3</v>
      </c>
      <c r="G389" s="36">
        <v>1</v>
      </c>
      <c r="H389" s="36">
        <v>7</v>
      </c>
      <c r="I389" s="36">
        <v>0</v>
      </c>
      <c r="J389" s="37">
        <f t="shared" si="36"/>
        <v>10</v>
      </c>
      <c r="K389" s="37">
        <f t="shared" si="37"/>
        <v>1</v>
      </c>
      <c r="L389" s="38">
        <f t="shared" si="38"/>
        <v>0.1</v>
      </c>
      <c r="M389" s="39" t="str">
        <f t="shared" si="39"/>
        <v>0,75</v>
      </c>
      <c r="N389" s="35" t="str">
        <f t="shared" si="40"/>
        <v>Baik</v>
      </c>
      <c r="O389" s="35" t="str">
        <f t="shared" si="41"/>
        <v>Terlampir Pada LHE ZI</v>
      </c>
    </row>
    <row r="390" spans="1:15" x14ac:dyDescent="0.25">
      <c r="A390" s="35"/>
      <c r="B390" s="35" t="s">
        <v>138</v>
      </c>
      <c r="C390" s="35" t="s">
        <v>307</v>
      </c>
      <c r="D390" s="36">
        <v>2</v>
      </c>
      <c r="E390" s="36">
        <v>0</v>
      </c>
      <c r="F390" s="36">
        <v>0</v>
      </c>
      <c r="G390" s="36">
        <v>0</v>
      </c>
      <c r="H390" s="36">
        <v>4</v>
      </c>
      <c r="I390" s="36">
        <v>1</v>
      </c>
      <c r="J390" s="37">
        <f t="shared" si="36"/>
        <v>6</v>
      </c>
      <c r="K390" s="37">
        <f t="shared" si="37"/>
        <v>1</v>
      </c>
      <c r="L390" s="38">
        <f t="shared" si="38"/>
        <v>0.16666666666666666</v>
      </c>
      <c r="M390" s="39" t="str">
        <f t="shared" si="39"/>
        <v>1,5</v>
      </c>
      <c r="N390" s="35" t="str">
        <f t="shared" si="40"/>
        <v>Sangat Baik</v>
      </c>
      <c r="O390" s="35" t="str">
        <f t="shared" si="41"/>
        <v>Terlampir Pada LHE ZI</v>
      </c>
    </row>
    <row r="391" spans="1:15" x14ac:dyDescent="0.25">
      <c r="A391" s="35"/>
      <c r="B391" s="35" t="s">
        <v>139</v>
      </c>
      <c r="C391" s="35" t="s">
        <v>307</v>
      </c>
      <c r="D391" s="36">
        <v>3</v>
      </c>
      <c r="E391" s="36">
        <v>0</v>
      </c>
      <c r="F391" s="36">
        <v>3</v>
      </c>
      <c r="G391" s="36">
        <v>0</v>
      </c>
      <c r="H391" s="36">
        <v>5</v>
      </c>
      <c r="I391" s="36">
        <v>1</v>
      </c>
      <c r="J391" s="37">
        <f t="shared" si="36"/>
        <v>11</v>
      </c>
      <c r="K391" s="37">
        <f t="shared" si="37"/>
        <v>1</v>
      </c>
      <c r="L391" s="38">
        <f t="shared" si="38"/>
        <v>9.0909090909090912E-2</v>
      </c>
      <c r="M391" s="39" t="str">
        <f t="shared" si="39"/>
        <v>0,75</v>
      </c>
      <c r="N391" s="35" t="str">
        <f t="shared" si="40"/>
        <v>Baik</v>
      </c>
      <c r="O391" s="35" t="str">
        <f t="shared" si="41"/>
        <v>Terlampir Pada LHE ZI</v>
      </c>
    </row>
    <row r="392" spans="1:15" x14ac:dyDescent="0.25">
      <c r="A392" s="35"/>
      <c r="B392" s="35" t="s">
        <v>140</v>
      </c>
      <c r="C392" s="35" t="s">
        <v>307</v>
      </c>
      <c r="D392" s="36">
        <v>2</v>
      </c>
      <c r="E392" s="36">
        <v>0</v>
      </c>
      <c r="F392" s="36">
        <v>2</v>
      </c>
      <c r="G392" s="36">
        <v>0</v>
      </c>
      <c r="H392" s="36">
        <v>3</v>
      </c>
      <c r="I392" s="36">
        <v>0</v>
      </c>
      <c r="J392" s="37">
        <f t="shared" si="36"/>
        <v>7</v>
      </c>
      <c r="K392" s="37">
        <f t="shared" si="37"/>
        <v>0</v>
      </c>
      <c r="L392" s="38">
        <f t="shared" si="38"/>
        <v>0</v>
      </c>
      <c r="M392" s="39" t="str">
        <f t="shared" si="39"/>
        <v>0,5</v>
      </c>
      <c r="N392" s="35" t="str">
        <f t="shared" si="40"/>
        <v>Cukup</v>
      </c>
      <c r="O392" s="35" t="str">
        <f t="shared" si="41"/>
        <v>Terlampir Pada LHE ZI</v>
      </c>
    </row>
    <row r="393" spans="1:15" x14ac:dyDescent="0.25">
      <c r="A393" s="35"/>
      <c r="B393" s="35" t="s">
        <v>141</v>
      </c>
      <c r="C393" s="35" t="s">
        <v>307</v>
      </c>
      <c r="D393" s="36">
        <v>2</v>
      </c>
      <c r="E393" s="36">
        <v>0</v>
      </c>
      <c r="F393" s="36">
        <v>0</v>
      </c>
      <c r="G393" s="36">
        <v>0</v>
      </c>
      <c r="H393" s="36">
        <v>1</v>
      </c>
      <c r="I393" s="36">
        <v>0</v>
      </c>
      <c r="J393" s="37">
        <f t="shared" si="36"/>
        <v>3</v>
      </c>
      <c r="K393" s="37">
        <f t="shared" si="37"/>
        <v>0</v>
      </c>
      <c r="L393" s="38">
        <f t="shared" si="38"/>
        <v>0</v>
      </c>
      <c r="M393" s="39" t="str">
        <f t="shared" si="39"/>
        <v>0,5</v>
      </c>
      <c r="N393" s="35" t="str">
        <f t="shared" si="40"/>
        <v>Cukup</v>
      </c>
      <c r="O393" s="35" t="str">
        <f t="shared" si="41"/>
        <v>Terlampir Pada LHE ZI</v>
      </c>
    </row>
    <row r="394" spans="1:15" x14ac:dyDescent="0.25">
      <c r="A394" s="35"/>
      <c r="B394" s="35" t="s">
        <v>621</v>
      </c>
      <c r="C394" s="35" t="s">
        <v>307</v>
      </c>
      <c r="D394" s="36">
        <v>0</v>
      </c>
      <c r="E394" s="36">
        <v>0</v>
      </c>
      <c r="F394" s="36">
        <v>0</v>
      </c>
      <c r="G394" s="36">
        <v>0</v>
      </c>
      <c r="H394" s="36">
        <v>0</v>
      </c>
      <c r="I394" s="36">
        <v>0</v>
      </c>
      <c r="J394" s="37">
        <f t="shared" si="36"/>
        <v>0</v>
      </c>
      <c r="K394" s="37">
        <f t="shared" si="37"/>
        <v>0</v>
      </c>
      <c r="L394" s="38" t="e">
        <v>#DIV/0!</v>
      </c>
      <c r="M394" s="39">
        <v>0</v>
      </c>
      <c r="N394" s="35" t="str">
        <f t="shared" si="40"/>
        <v>Kurang</v>
      </c>
      <c r="O394" s="35" t="str">
        <f t="shared" si="41"/>
        <v>Isi Rekomendasi</v>
      </c>
    </row>
    <row r="395" spans="1:15" x14ac:dyDescent="0.25">
      <c r="A395" s="35"/>
      <c r="B395" s="35" t="s">
        <v>622</v>
      </c>
      <c r="C395" s="35" t="s">
        <v>307</v>
      </c>
      <c r="D395" s="36">
        <v>0</v>
      </c>
      <c r="E395" s="36">
        <v>0</v>
      </c>
      <c r="F395" s="36">
        <v>0</v>
      </c>
      <c r="G395" s="36">
        <v>0</v>
      </c>
      <c r="H395" s="36">
        <v>0</v>
      </c>
      <c r="I395" s="36">
        <v>0</v>
      </c>
      <c r="J395" s="37">
        <f t="shared" si="36"/>
        <v>0</v>
      </c>
      <c r="K395" s="37">
        <f t="shared" si="37"/>
        <v>0</v>
      </c>
      <c r="L395" s="38" t="e">
        <v>#DIV/0!</v>
      </c>
      <c r="M395" s="39">
        <v>0</v>
      </c>
      <c r="N395" s="35" t="str">
        <f t="shared" si="40"/>
        <v>Kurang</v>
      </c>
      <c r="O395" s="35" t="str">
        <f t="shared" si="41"/>
        <v>Isi Rekomendasi</v>
      </c>
    </row>
    <row r="396" spans="1:15" x14ac:dyDescent="0.25">
      <c r="A396" s="35"/>
      <c r="B396" s="35" t="s">
        <v>623</v>
      </c>
      <c r="C396" s="35" t="s">
        <v>307</v>
      </c>
      <c r="D396" s="36">
        <v>0</v>
      </c>
      <c r="E396" s="36">
        <v>0</v>
      </c>
      <c r="F396" s="36">
        <v>0</v>
      </c>
      <c r="G396" s="36">
        <v>0</v>
      </c>
      <c r="H396" s="36">
        <v>0</v>
      </c>
      <c r="I396" s="36">
        <v>0</v>
      </c>
      <c r="J396" s="37">
        <f t="shared" si="36"/>
        <v>0</v>
      </c>
      <c r="K396" s="37">
        <f t="shared" si="37"/>
        <v>0</v>
      </c>
      <c r="L396" s="38" t="e">
        <v>#DIV/0!</v>
      </c>
      <c r="M396" s="39">
        <v>0</v>
      </c>
      <c r="N396" s="35" t="str">
        <f t="shared" si="40"/>
        <v>Kurang</v>
      </c>
      <c r="O396" s="35" t="str">
        <f t="shared" si="41"/>
        <v>Isi Rekomendasi</v>
      </c>
    </row>
    <row r="397" spans="1:15" x14ac:dyDescent="0.25">
      <c r="A397" s="35"/>
      <c r="B397" s="35" t="s">
        <v>142</v>
      </c>
      <c r="C397" s="35" t="s">
        <v>307</v>
      </c>
      <c r="D397" s="36">
        <v>2</v>
      </c>
      <c r="E397" s="36">
        <v>0</v>
      </c>
      <c r="F397" s="36">
        <v>1</v>
      </c>
      <c r="G397" s="36">
        <v>0</v>
      </c>
      <c r="H397" s="36">
        <v>1</v>
      </c>
      <c r="I397" s="36">
        <v>0</v>
      </c>
      <c r="J397" s="37">
        <f t="shared" si="36"/>
        <v>4</v>
      </c>
      <c r="K397" s="37">
        <f t="shared" si="37"/>
        <v>0</v>
      </c>
      <c r="L397" s="38">
        <f>K397/J397</f>
        <v>0</v>
      </c>
      <c r="M397" s="39" t="str">
        <f t="shared" si="39"/>
        <v>0,5</v>
      </c>
      <c r="N397" s="35" t="str">
        <f t="shared" si="40"/>
        <v>Cukup</v>
      </c>
      <c r="O397" s="35" t="str">
        <f t="shared" si="41"/>
        <v>Terlampir Pada LHE ZI</v>
      </c>
    </row>
    <row r="398" spans="1:15" x14ac:dyDescent="0.25">
      <c r="A398" s="35"/>
      <c r="B398" s="35" t="s">
        <v>624</v>
      </c>
      <c r="C398" s="35" t="s">
        <v>307</v>
      </c>
      <c r="D398" s="36">
        <v>0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7">
        <f t="shared" si="36"/>
        <v>0</v>
      </c>
      <c r="K398" s="37">
        <f t="shared" si="37"/>
        <v>0</v>
      </c>
      <c r="L398" s="38" t="e">
        <v>#DIV/0!</v>
      </c>
      <c r="M398" s="39">
        <v>0</v>
      </c>
      <c r="N398" s="35" t="str">
        <f t="shared" si="40"/>
        <v>Kurang</v>
      </c>
      <c r="O398" s="35" t="str">
        <f t="shared" si="41"/>
        <v>Isi Rekomendasi</v>
      </c>
    </row>
    <row r="399" spans="1:15" x14ac:dyDescent="0.25">
      <c r="A399" s="35"/>
      <c r="B399" s="35" t="s">
        <v>143</v>
      </c>
      <c r="C399" s="35" t="s">
        <v>307</v>
      </c>
      <c r="D399" s="36">
        <v>3</v>
      </c>
      <c r="E399" s="36">
        <v>0</v>
      </c>
      <c r="F399" s="36">
        <v>0</v>
      </c>
      <c r="G399" s="36">
        <v>0</v>
      </c>
      <c r="H399" s="36">
        <v>3</v>
      </c>
      <c r="I399" s="36">
        <v>0</v>
      </c>
      <c r="J399" s="37">
        <f t="shared" si="36"/>
        <v>6</v>
      </c>
      <c r="K399" s="37">
        <f t="shared" si="37"/>
        <v>0</v>
      </c>
      <c r="L399" s="38">
        <f>K399/J399</f>
        <v>0</v>
      </c>
      <c r="M399" s="39" t="str">
        <f t="shared" si="39"/>
        <v>0,5</v>
      </c>
      <c r="N399" s="35" t="str">
        <f t="shared" si="40"/>
        <v>Cukup</v>
      </c>
      <c r="O399" s="35" t="str">
        <f t="shared" si="41"/>
        <v>Terlampir Pada LHE ZI</v>
      </c>
    </row>
    <row r="400" spans="1:15" x14ac:dyDescent="0.25">
      <c r="A400" s="35"/>
      <c r="B400" s="35" t="s">
        <v>625</v>
      </c>
      <c r="C400" s="35" t="s">
        <v>307</v>
      </c>
      <c r="D400" s="36">
        <v>0</v>
      </c>
      <c r="E400" s="36">
        <v>0</v>
      </c>
      <c r="F400" s="36">
        <v>0</v>
      </c>
      <c r="G400" s="36">
        <v>0</v>
      </c>
      <c r="H400" s="36">
        <v>0</v>
      </c>
      <c r="I400" s="36">
        <v>0</v>
      </c>
      <c r="J400" s="37">
        <f t="shared" si="36"/>
        <v>0</v>
      </c>
      <c r="K400" s="37">
        <f t="shared" si="37"/>
        <v>0</v>
      </c>
      <c r="L400" s="38" t="e">
        <v>#DIV/0!</v>
      </c>
      <c r="M400" s="39">
        <v>0</v>
      </c>
      <c r="N400" s="35" t="str">
        <f t="shared" si="40"/>
        <v>Kurang</v>
      </c>
      <c r="O400" s="35" t="str">
        <f t="shared" si="41"/>
        <v>Isi Rekomendasi</v>
      </c>
    </row>
    <row r="401" spans="1:15" x14ac:dyDescent="0.25">
      <c r="A401" s="35"/>
      <c r="B401" s="35" t="s">
        <v>626</v>
      </c>
      <c r="C401" s="35" t="s">
        <v>307</v>
      </c>
      <c r="D401" s="36">
        <v>0</v>
      </c>
      <c r="E401" s="36">
        <v>0</v>
      </c>
      <c r="F401" s="36">
        <v>0</v>
      </c>
      <c r="G401" s="36">
        <v>0</v>
      </c>
      <c r="H401" s="36">
        <v>0</v>
      </c>
      <c r="I401" s="36">
        <v>0</v>
      </c>
      <c r="J401" s="37">
        <f t="shared" si="36"/>
        <v>0</v>
      </c>
      <c r="K401" s="37">
        <f t="shared" si="37"/>
        <v>0</v>
      </c>
      <c r="L401" s="38" t="e">
        <v>#DIV/0!</v>
      </c>
      <c r="M401" s="39">
        <v>0</v>
      </c>
      <c r="N401" s="35" t="str">
        <f t="shared" si="40"/>
        <v>Kurang</v>
      </c>
      <c r="O401" s="35" t="str">
        <f t="shared" si="41"/>
        <v>Isi Rekomendasi</v>
      </c>
    </row>
    <row r="402" spans="1:15" x14ac:dyDescent="0.25">
      <c r="A402" s="35"/>
      <c r="B402" s="35" t="s">
        <v>144</v>
      </c>
      <c r="C402" s="35" t="s">
        <v>307</v>
      </c>
      <c r="D402" s="36">
        <v>0</v>
      </c>
      <c r="E402" s="36">
        <v>0</v>
      </c>
      <c r="F402" s="36">
        <v>0</v>
      </c>
      <c r="G402" s="36">
        <v>0</v>
      </c>
      <c r="H402" s="36">
        <v>6</v>
      </c>
      <c r="I402" s="36">
        <v>0</v>
      </c>
      <c r="J402" s="37">
        <f t="shared" si="36"/>
        <v>6</v>
      </c>
      <c r="K402" s="37">
        <f t="shared" si="37"/>
        <v>0</v>
      </c>
      <c r="L402" s="38">
        <f>K402/J402</f>
        <v>0</v>
      </c>
      <c r="M402" s="39" t="str">
        <f t="shared" si="39"/>
        <v>0,5</v>
      </c>
      <c r="N402" s="35" t="str">
        <f t="shared" si="40"/>
        <v>Cukup</v>
      </c>
      <c r="O402" s="35" t="str">
        <f t="shared" si="41"/>
        <v>Terlampir Pada LHE ZI</v>
      </c>
    </row>
    <row r="403" spans="1:15" x14ac:dyDescent="0.25">
      <c r="A403" s="35"/>
      <c r="B403" s="35" t="s">
        <v>627</v>
      </c>
      <c r="C403" s="35" t="s">
        <v>307</v>
      </c>
      <c r="D403" s="36">
        <v>0</v>
      </c>
      <c r="E403" s="36">
        <v>0</v>
      </c>
      <c r="F403" s="36">
        <v>0</v>
      </c>
      <c r="G403" s="36">
        <v>0</v>
      </c>
      <c r="H403" s="36">
        <v>0</v>
      </c>
      <c r="I403" s="36">
        <v>0</v>
      </c>
      <c r="J403" s="37">
        <f t="shared" si="36"/>
        <v>0</v>
      </c>
      <c r="K403" s="37">
        <f t="shared" si="37"/>
        <v>0</v>
      </c>
      <c r="L403" s="38" t="e">
        <v>#DIV/0!</v>
      </c>
      <c r="M403" s="39">
        <v>0</v>
      </c>
      <c r="N403" s="35" t="str">
        <f t="shared" si="40"/>
        <v>Kurang</v>
      </c>
      <c r="O403" s="35" t="str">
        <f t="shared" si="41"/>
        <v>Isi Rekomendasi</v>
      </c>
    </row>
    <row r="404" spans="1:15" x14ac:dyDescent="0.25">
      <c r="A404" s="35"/>
      <c r="B404" s="35" t="s">
        <v>628</v>
      </c>
      <c r="C404" s="35" t="s">
        <v>307</v>
      </c>
      <c r="D404" s="36">
        <v>0</v>
      </c>
      <c r="E404" s="36">
        <v>0</v>
      </c>
      <c r="F404" s="36">
        <v>0</v>
      </c>
      <c r="G404" s="36">
        <v>0</v>
      </c>
      <c r="H404" s="36">
        <v>0</v>
      </c>
      <c r="I404" s="36">
        <v>0</v>
      </c>
      <c r="J404" s="37">
        <f t="shared" si="36"/>
        <v>0</v>
      </c>
      <c r="K404" s="37">
        <f t="shared" si="37"/>
        <v>0</v>
      </c>
      <c r="L404" s="38" t="e">
        <v>#DIV/0!</v>
      </c>
      <c r="M404" s="39">
        <v>0</v>
      </c>
      <c r="N404" s="35" t="str">
        <f t="shared" si="40"/>
        <v>Kurang</v>
      </c>
      <c r="O404" s="35" t="str">
        <f t="shared" si="41"/>
        <v>Isi Rekomendasi</v>
      </c>
    </row>
    <row r="405" spans="1:15" x14ac:dyDescent="0.25">
      <c r="A405" s="35"/>
      <c r="B405" s="35" t="s">
        <v>629</v>
      </c>
      <c r="C405" s="35" t="s">
        <v>307</v>
      </c>
      <c r="D405" s="36">
        <v>0</v>
      </c>
      <c r="E405" s="36">
        <v>0</v>
      </c>
      <c r="F405" s="36">
        <v>0</v>
      </c>
      <c r="G405" s="36">
        <v>0</v>
      </c>
      <c r="H405" s="36">
        <v>0</v>
      </c>
      <c r="I405" s="36">
        <v>0</v>
      </c>
      <c r="J405" s="37">
        <f t="shared" si="36"/>
        <v>0</v>
      </c>
      <c r="K405" s="37">
        <f t="shared" si="37"/>
        <v>0</v>
      </c>
      <c r="L405" s="38" t="e">
        <v>#DIV/0!</v>
      </c>
      <c r="M405" s="39">
        <v>0</v>
      </c>
      <c r="N405" s="35" t="str">
        <f t="shared" si="40"/>
        <v>Kurang</v>
      </c>
      <c r="O405" s="35" t="str">
        <f t="shared" si="41"/>
        <v>Isi Rekomendasi</v>
      </c>
    </row>
    <row r="406" spans="1:15" x14ac:dyDescent="0.25">
      <c r="A406" s="35"/>
      <c r="B406" s="35" t="s">
        <v>145</v>
      </c>
      <c r="C406" s="35" t="s">
        <v>307</v>
      </c>
      <c r="D406" s="36">
        <v>0</v>
      </c>
      <c r="E406" s="36">
        <v>0</v>
      </c>
      <c r="F406" s="36">
        <v>0</v>
      </c>
      <c r="G406" s="36">
        <v>0</v>
      </c>
      <c r="H406" s="36">
        <v>1</v>
      </c>
      <c r="I406" s="36">
        <v>0</v>
      </c>
      <c r="J406" s="37">
        <f t="shared" si="36"/>
        <v>1</v>
      </c>
      <c r="K406" s="37">
        <f t="shared" si="37"/>
        <v>0</v>
      </c>
      <c r="L406" s="38">
        <f>K406/J406</f>
        <v>0</v>
      </c>
      <c r="M406" s="39" t="str">
        <f t="shared" si="39"/>
        <v>0,5</v>
      </c>
      <c r="N406" s="35" t="str">
        <f t="shared" si="40"/>
        <v>Cukup</v>
      </c>
      <c r="O406" s="35" t="str">
        <f t="shared" si="41"/>
        <v>Terlampir Pada LHE ZI</v>
      </c>
    </row>
    <row r="407" spans="1:15" x14ac:dyDescent="0.25">
      <c r="A407" s="35"/>
      <c r="B407" s="35" t="s">
        <v>630</v>
      </c>
      <c r="C407" s="35" t="s">
        <v>307</v>
      </c>
      <c r="D407" s="36">
        <v>0</v>
      </c>
      <c r="E407" s="36">
        <v>0</v>
      </c>
      <c r="F407" s="36">
        <v>0</v>
      </c>
      <c r="G407" s="36">
        <v>0</v>
      </c>
      <c r="H407" s="36">
        <v>0</v>
      </c>
      <c r="I407" s="36">
        <v>0</v>
      </c>
      <c r="J407" s="37">
        <f t="shared" si="36"/>
        <v>0</v>
      </c>
      <c r="K407" s="37">
        <f t="shared" si="37"/>
        <v>0</v>
      </c>
      <c r="L407" s="38" t="e">
        <v>#DIV/0!</v>
      </c>
      <c r="M407" s="39">
        <v>0</v>
      </c>
      <c r="N407" s="35" t="str">
        <f t="shared" si="40"/>
        <v>Kurang</v>
      </c>
      <c r="O407" s="35" t="str">
        <f t="shared" si="41"/>
        <v>Isi Rekomendasi</v>
      </c>
    </row>
    <row r="408" spans="1:15" x14ac:dyDescent="0.25">
      <c r="A408" s="35"/>
      <c r="B408" s="35" t="s">
        <v>361</v>
      </c>
      <c r="C408" s="35" t="s">
        <v>307</v>
      </c>
      <c r="D408" s="36">
        <v>0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7">
        <f t="shared" si="36"/>
        <v>0</v>
      </c>
      <c r="K408" s="37">
        <f t="shared" si="37"/>
        <v>0</v>
      </c>
      <c r="L408" s="38" t="e">
        <v>#DIV/0!</v>
      </c>
      <c r="M408" s="39">
        <v>0</v>
      </c>
      <c r="N408" s="35" t="str">
        <f t="shared" si="40"/>
        <v>Kurang</v>
      </c>
      <c r="O408" s="35" t="str">
        <f t="shared" si="41"/>
        <v>Isi Rekomendasi</v>
      </c>
    </row>
    <row r="409" spans="1:15" x14ac:dyDescent="0.25">
      <c r="A409" s="35"/>
      <c r="B409" s="35" t="s">
        <v>631</v>
      </c>
      <c r="C409" s="35" t="s">
        <v>307</v>
      </c>
      <c r="D409" s="36">
        <v>0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7">
        <f t="shared" si="36"/>
        <v>0</v>
      </c>
      <c r="K409" s="37">
        <f t="shared" si="37"/>
        <v>0</v>
      </c>
      <c r="L409" s="38" t="e">
        <v>#DIV/0!</v>
      </c>
      <c r="M409" s="39">
        <v>0</v>
      </c>
      <c r="N409" s="35" t="str">
        <f t="shared" si="40"/>
        <v>Kurang</v>
      </c>
      <c r="O409" s="35" t="str">
        <f t="shared" si="41"/>
        <v>Isi Rekomendasi</v>
      </c>
    </row>
    <row r="410" spans="1:15" x14ac:dyDescent="0.25">
      <c r="A410" s="35"/>
      <c r="B410" s="35" t="s">
        <v>146</v>
      </c>
      <c r="C410" s="35" t="s">
        <v>307</v>
      </c>
      <c r="D410" s="36">
        <v>0</v>
      </c>
      <c r="E410" s="36">
        <v>0</v>
      </c>
      <c r="F410" s="36">
        <v>0</v>
      </c>
      <c r="G410" s="36">
        <v>0</v>
      </c>
      <c r="H410" s="36">
        <v>3</v>
      </c>
      <c r="I410" s="36">
        <v>0</v>
      </c>
      <c r="J410" s="37">
        <f t="shared" si="36"/>
        <v>3</v>
      </c>
      <c r="K410" s="37">
        <f t="shared" si="37"/>
        <v>0</v>
      </c>
      <c r="L410" s="38">
        <f>K410/J410</f>
        <v>0</v>
      </c>
      <c r="M410" s="39" t="str">
        <f t="shared" si="39"/>
        <v>0,5</v>
      </c>
      <c r="N410" s="35" t="str">
        <f t="shared" si="40"/>
        <v>Cukup</v>
      </c>
      <c r="O410" s="35" t="str">
        <f t="shared" si="41"/>
        <v>Terlampir Pada LHE ZI</v>
      </c>
    </row>
    <row r="411" spans="1:15" x14ac:dyDescent="0.25">
      <c r="A411" s="35"/>
      <c r="B411" s="35" t="s">
        <v>632</v>
      </c>
      <c r="C411" s="35" t="s">
        <v>307</v>
      </c>
      <c r="D411" s="36">
        <v>0</v>
      </c>
      <c r="E411" s="36">
        <v>0</v>
      </c>
      <c r="F411" s="36">
        <v>0</v>
      </c>
      <c r="G411" s="36">
        <v>0</v>
      </c>
      <c r="H411" s="36">
        <v>0</v>
      </c>
      <c r="I411" s="36">
        <v>0</v>
      </c>
      <c r="J411" s="37">
        <f t="shared" si="36"/>
        <v>0</v>
      </c>
      <c r="K411" s="37">
        <f t="shared" si="37"/>
        <v>0</v>
      </c>
      <c r="L411" s="38" t="e">
        <v>#DIV/0!</v>
      </c>
      <c r="M411" s="39">
        <v>0</v>
      </c>
      <c r="N411" s="35" t="str">
        <f t="shared" si="40"/>
        <v>Kurang</v>
      </c>
      <c r="O411" s="35" t="str">
        <f t="shared" si="41"/>
        <v>Isi Rekomendasi</v>
      </c>
    </row>
    <row r="412" spans="1:15" x14ac:dyDescent="0.25">
      <c r="A412" s="35"/>
      <c r="B412" s="35" t="s">
        <v>147</v>
      </c>
      <c r="C412" s="35" t="s">
        <v>306</v>
      </c>
      <c r="D412" s="36">
        <v>15</v>
      </c>
      <c r="E412" s="36">
        <v>4</v>
      </c>
      <c r="F412" s="36">
        <v>4</v>
      </c>
      <c r="G412" s="36">
        <v>0</v>
      </c>
      <c r="H412" s="36">
        <v>57</v>
      </c>
      <c r="I412" s="36">
        <v>8</v>
      </c>
      <c r="J412" s="37">
        <f t="shared" si="36"/>
        <v>76</v>
      </c>
      <c r="K412" s="37">
        <f t="shared" si="37"/>
        <v>12</v>
      </c>
      <c r="L412" s="38">
        <f>K412/J412</f>
        <v>0.15789473684210525</v>
      </c>
      <c r="M412" s="39" t="str">
        <f>IF(AND(C412="KL",L412&gt;75%),"3",IF(AND(C412="KL",L412&gt;40%),"2",IF(AND(C412="KL",L412&gt;10%),"1",IF(AND(C412="KL",L412&gt;0.1%),"0,75",IF(AND(C412="KL",L412&gt;=0%),"0,5",IF(AND(C412="Pemda",L412&gt;75%),"3,5",IF(AND(C412="Pemda",L412&gt;40%),"2,5",IF(AND(C412="Pemda",L412&gt;10%),"1,5",IF(AND(C412="Pemda",L412&gt;0.1%),"0,75",IF(AND(C412="Pemda",L412&gt;=0%),"0,5","0"))))))))))</f>
        <v>1</v>
      </c>
      <c r="N412" s="35" t="str">
        <f t="shared" si="40"/>
        <v>Sangat Baik</v>
      </c>
      <c r="O412" s="35" t="str">
        <f t="shared" si="41"/>
        <v>Terlampir Pada LHE ZI</v>
      </c>
    </row>
    <row r="413" spans="1:15" x14ac:dyDescent="0.25">
      <c r="A413" s="35"/>
      <c r="B413" s="35" t="s">
        <v>300</v>
      </c>
      <c r="C413" s="35" t="s">
        <v>306</v>
      </c>
      <c r="D413" s="36">
        <v>414</v>
      </c>
      <c r="E413" s="36">
        <v>269</v>
      </c>
      <c r="F413" s="36">
        <v>137</v>
      </c>
      <c r="G413" s="36">
        <v>13</v>
      </c>
      <c r="H413" s="36">
        <v>91</v>
      </c>
      <c r="I413" s="36">
        <v>51.5</v>
      </c>
      <c r="J413" s="37">
        <f t="shared" si="36"/>
        <v>642</v>
      </c>
      <c r="K413" s="37">
        <f>E413+G413+(25/2)+39</f>
        <v>333.5</v>
      </c>
      <c r="L413" s="38">
        <f>K413/J413</f>
        <v>0.51947040498442365</v>
      </c>
      <c r="M413" s="39" t="str">
        <f t="shared" si="39"/>
        <v>2</v>
      </c>
      <c r="N413" s="35" t="str">
        <f t="shared" si="40"/>
        <v>Memuaskan</v>
      </c>
      <c r="O413" s="35" t="str">
        <f t="shared" si="41"/>
        <v>Terlampir Pada LHE ZI</v>
      </c>
    </row>
    <row r="414" spans="1:15" x14ac:dyDescent="0.25">
      <c r="A414" s="35"/>
      <c r="B414" s="35" t="s">
        <v>633</v>
      </c>
      <c r="C414" s="35" t="s">
        <v>306</v>
      </c>
      <c r="D414" s="36">
        <v>8</v>
      </c>
      <c r="E414" s="36">
        <v>0</v>
      </c>
      <c r="F414" s="36">
        <v>10</v>
      </c>
      <c r="G414" s="36">
        <v>0</v>
      </c>
      <c r="H414" s="36">
        <v>0</v>
      </c>
      <c r="I414" s="36">
        <v>0</v>
      </c>
      <c r="J414" s="37">
        <f t="shared" si="36"/>
        <v>18</v>
      </c>
      <c r="K414" s="37">
        <f t="shared" si="37"/>
        <v>0</v>
      </c>
      <c r="L414" s="38">
        <f>K414/J414</f>
        <v>0</v>
      </c>
      <c r="M414" s="39" t="str">
        <f t="shared" si="39"/>
        <v>0,5</v>
      </c>
      <c r="N414" s="35" t="str">
        <f t="shared" si="40"/>
        <v>Cukup</v>
      </c>
      <c r="O414" s="35" t="str">
        <f t="shared" si="41"/>
        <v>Terlampir Pada LHE ZI</v>
      </c>
    </row>
    <row r="415" spans="1:15" x14ac:dyDescent="0.25">
      <c r="A415" s="35"/>
      <c r="B415" s="35" t="s">
        <v>634</v>
      </c>
      <c r="C415" s="35" t="s">
        <v>306</v>
      </c>
      <c r="D415" s="36">
        <v>0</v>
      </c>
      <c r="E415" s="36">
        <v>0</v>
      </c>
      <c r="F415" s="36">
        <v>0</v>
      </c>
      <c r="G415" s="36">
        <v>0</v>
      </c>
      <c r="H415" s="36">
        <v>0</v>
      </c>
      <c r="I415" s="36">
        <v>0</v>
      </c>
      <c r="J415" s="37">
        <f t="shared" si="36"/>
        <v>0</v>
      </c>
      <c r="K415" s="37">
        <f t="shared" si="37"/>
        <v>0</v>
      </c>
      <c r="L415" s="38" t="e">
        <v>#DIV/0!</v>
      </c>
      <c r="M415" s="39">
        <v>0</v>
      </c>
      <c r="N415" s="35" t="str">
        <f t="shared" si="40"/>
        <v>Kurang</v>
      </c>
      <c r="O415" s="35" t="str">
        <f t="shared" si="41"/>
        <v>Isi Rekomendasi</v>
      </c>
    </row>
    <row r="416" spans="1:15" x14ac:dyDescent="0.25">
      <c r="A416" s="35"/>
      <c r="B416" s="35" t="s">
        <v>149</v>
      </c>
      <c r="C416" s="35" t="s">
        <v>306</v>
      </c>
      <c r="D416" s="36">
        <v>0</v>
      </c>
      <c r="E416" s="36">
        <v>0</v>
      </c>
      <c r="F416" s="36">
        <v>0</v>
      </c>
      <c r="G416" s="36">
        <v>0</v>
      </c>
      <c r="H416" s="36">
        <v>1</v>
      </c>
      <c r="I416" s="36">
        <v>0</v>
      </c>
      <c r="J416" s="37">
        <f t="shared" si="36"/>
        <v>1</v>
      </c>
      <c r="K416" s="37">
        <f t="shared" si="37"/>
        <v>0</v>
      </c>
      <c r="L416" s="38">
        <f t="shared" ref="L416:L449" si="42">K416/J416</f>
        <v>0</v>
      </c>
      <c r="M416" s="39" t="str">
        <f t="shared" si="39"/>
        <v>0,5</v>
      </c>
      <c r="N416" s="35" t="str">
        <f t="shared" si="40"/>
        <v>Cukup</v>
      </c>
      <c r="O416" s="35" t="str">
        <f t="shared" si="41"/>
        <v>Terlampir Pada LHE ZI</v>
      </c>
    </row>
    <row r="417" spans="1:15" x14ac:dyDescent="0.25">
      <c r="A417" s="35"/>
      <c r="B417" s="35" t="s">
        <v>150</v>
      </c>
      <c r="C417" s="35" t="s">
        <v>306</v>
      </c>
      <c r="D417" s="36">
        <v>8</v>
      </c>
      <c r="E417" s="36">
        <v>1</v>
      </c>
      <c r="F417" s="36">
        <v>12</v>
      </c>
      <c r="G417" s="36">
        <v>2</v>
      </c>
      <c r="H417" s="36">
        <v>7</v>
      </c>
      <c r="I417" s="36">
        <v>4</v>
      </c>
      <c r="J417" s="37">
        <f t="shared" si="36"/>
        <v>27</v>
      </c>
      <c r="K417" s="37">
        <f t="shared" si="37"/>
        <v>7</v>
      </c>
      <c r="L417" s="38">
        <f t="shared" si="42"/>
        <v>0.25925925925925924</v>
      </c>
      <c r="M417" s="39" t="str">
        <f t="shared" si="39"/>
        <v>1</v>
      </c>
      <c r="N417" s="35" t="str">
        <f t="shared" si="40"/>
        <v>Sangat Baik</v>
      </c>
      <c r="O417" s="35" t="str">
        <f t="shared" si="41"/>
        <v>Terlampir Pada LHE ZI</v>
      </c>
    </row>
    <row r="418" spans="1:15" x14ac:dyDescent="0.25">
      <c r="A418" s="35"/>
      <c r="B418" s="35" t="s">
        <v>151</v>
      </c>
      <c r="C418" s="35" t="s">
        <v>306</v>
      </c>
      <c r="D418" s="36">
        <v>8</v>
      </c>
      <c r="E418" s="36">
        <v>2</v>
      </c>
      <c r="F418" s="36">
        <v>13</v>
      </c>
      <c r="G418" s="36">
        <v>2</v>
      </c>
      <c r="H418" s="36">
        <v>14</v>
      </c>
      <c r="I418" s="36">
        <v>2</v>
      </c>
      <c r="J418" s="37">
        <f t="shared" si="36"/>
        <v>35</v>
      </c>
      <c r="K418" s="37">
        <f t="shared" si="37"/>
        <v>6</v>
      </c>
      <c r="L418" s="38">
        <f t="shared" si="42"/>
        <v>0.17142857142857143</v>
      </c>
      <c r="M418" s="39" t="str">
        <f t="shared" si="39"/>
        <v>1</v>
      </c>
      <c r="N418" s="35" t="str">
        <f t="shared" si="40"/>
        <v>Sangat Baik</v>
      </c>
      <c r="O418" s="35" t="str">
        <f t="shared" si="41"/>
        <v>Terlampir Pada LHE ZI</v>
      </c>
    </row>
    <row r="419" spans="1:15" x14ac:dyDescent="0.25">
      <c r="A419" s="35"/>
      <c r="B419" s="35" t="s">
        <v>152</v>
      </c>
      <c r="C419" s="35" t="s">
        <v>306</v>
      </c>
      <c r="D419" s="36">
        <v>4</v>
      </c>
      <c r="E419" s="36">
        <v>0</v>
      </c>
      <c r="F419" s="36">
        <v>6</v>
      </c>
      <c r="G419" s="36">
        <v>0</v>
      </c>
      <c r="H419" s="36">
        <v>5</v>
      </c>
      <c r="I419" s="36">
        <v>0</v>
      </c>
      <c r="J419" s="37">
        <f t="shared" si="36"/>
        <v>15</v>
      </c>
      <c r="K419" s="37">
        <f t="shared" si="37"/>
        <v>0</v>
      </c>
      <c r="L419" s="38">
        <f t="shared" si="42"/>
        <v>0</v>
      </c>
      <c r="M419" s="39" t="str">
        <f t="shared" si="39"/>
        <v>0,5</v>
      </c>
      <c r="N419" s="35" t="str">
        <f t="shared" si="40"/>
        <v>Cukup</v>
      </c>
      <c r="O419" s="35" t="str">
        <f t="shared" si="41"/>
        <v>Terlampir Pada LHE ZI</v>
      </c>
    </row>
    <row r="420" spans="1:15" x14ac:dyDescent="0.25">
      <c r="A420" s="35"/>
      <c r="B420" s="35" t="s">
        <v>153</v>
      </c>
      <c r="C420" s="35" t="s">
        <v>306</v>
      </c>
      <c r="D420" s="36">
        <v>4</v>
      </c>
      <c r="E420" s="36">
        <v>0</v>
      </c>
      <c r="F420" s="36">
        <v>2</v>
      </c>
      <c r="G420" s="36">
        <v>0</v>
      </c>
      <c r="H420" s="36">
        <v>7</v>
      </c>
      <c r="I420" s="36">
        <v>1</v>
      </c>
      <c r="J420" s="37">
        <f t="shared" si="36"/>
        <v>13</v>
      </c>
      <c r="K420" s="37">
        <f t="shared" si="37"/>
        <v>1</v>
      </c>
      <c r="L420" s="38">
        <f t="shared" si="42"/>
        <v>7.6923076923076927E-2</v>
      </c>
      <c r="M420" s="39" t="str">
        <f t="shared" si="39"/>
        <v>0,75</v>
      </c>
      <c r="N420" s="35" t="str">
        <f t="shared" si="40"/>
        <v>Baik</v>
      </c>
      <c r="O420" s="35" t="str">
        <f t="shared" si="41"/>
        <v>Terlampir Pada LHE ZI</v>
      </c>
    </row>
    <row r="421" spans="1:15" x14ac:dyDescent="0.25">
      <c r="A421" s="35"/>
      <c r="B421" s="35" t="s">
        <v>154</v>
      </c>
      <c r="C421" s="35" t="s">
        <v>306</v>
      </c>
      <c r="D421" s="36">
        <v>0</v>
      </c>
      <c r="E421" s="36">
        <v>0</v>
      </c>
      <c r="F421" s="36">
        <v>0</v>
      </c>
      <c r="G421" s="36">
        <v>0</v>
      </c>
      <c r="H421" s="36">
        <v>37</v>
      </c>
      <c r="I421" s="36">
        <v>10</v>
      </c>
      <c r="J421" s="37">
        <f t="shared" si="36"/>
        <v>37</v>
      </c>
      <c r="K421" s="37">
        <f t="shared" si="37"/>
        <v>10</v>
      </c>
      <c r="L421" s="38">
        <f t="shared" si="42"/>
        <v>0.27027027027027029</v>
      </c>
      <c r="M421" s="39" t="str">
        <f t="shared" si="39"/>
        <v>1</v>
      </c>
      <c r="N421" s="35" t="str">
        <f t="shared" si="40"/>
        <v>Sangat Baik</v>
      </c>
      <c r="O421" s="35" t="str">
        <f t="shared" si="41"/>
        <v>Terlampir Pada LHE ZI</v>
      </c>
    </row>
    <row r="422" spans="1:15" x14ac:dyDescent="0.25">
      <c r="A422" s="35"/>
      <c r="B422" s="35" t="s">
        <v>155</v>
      </c>
      <c r="C422" s="35" t="s">
        <v>306</v>
      </c>
      <c r="D422" s="36">
        <v>15</v>
      </c>
      <c r="E422" s="36">
        <v>2</v>
      </c>
      <c r="F422" s="36">
        <v>0</v>
      </c>
      <c r="G422" s="36">
        <v>0</v>
      </c>
      <c r="H422" s="36">
        <v>10</v>
      </c>
      <c r="I422" s="36">
        <v>4</v>
      </c>
      <c r="J422" s="37">
        <f t="shared" si="36"/>
        <v>25</v>
      </c>
      <c r="K422" s="37">
        <f t="shared" si="37"/>
        <v>6</v>
      </c>
      <c r="L422" s="38">
        <f t="shared" si="42"/>
        <v>0.24</v>
      </c>
      <c r="M422" s="39" t="str">
        <f t="shared" si="39"/>
        <v>1</v>
      </c>
      <c r="N422" s="35" t="str">
        <f t="shared" si="40"/>
        <v>Sangat Baik</v>
      </c>
      <c r="O422" s="35" t="str">
        <f t="shared" si="41"/>
        <v>Terlampir Pada LHE ZI</v>
      </c>
    </row>
    <row r="423" spans="1:15" x14ac:dyDescent="0.25">
      <c r="A423" s="35"/>
      <c r="B423" s="35" t="s">
        <v>156</v>
      </c>
      <c r="C423" s="35" t="s">
        <v>306</v>
      </c>
      <c r="D423" s="36">
        <v>4</v>
      </c>
      <c r="E423" s="36">
        <v>1</v>
      </c>
      <c r="F423" s="36">
        <v>1</v>
      </c>
      <c r="G423" s="36">
        <v>0</v>
      </c>
      <c r="H423" s="36">
        <v>1</v>
      </c>
      <c r="I423" s="36">
        <v>1</v>
      </c>
      <c r="J423" s="37">
        <f t="shared" si="36"/>
        <v>6</v>
      </c>
      <c r="K423" s="37">
        <f t="shared" si="37"/>
        <v>2</v>
      </c>
      <c r="L423" s="38">
        <f t="shared" si="42"/>
        <v>0.33333333333333331</v>
      </c>
      <c r="M423" s="39" t="str">
        <f t="shared" si="39"/>
        <v>1</v>
      </c>
      <c r="N423" s="35" t="str">
        <f t="shared" si="40"/>
        <v>Sangat Baik</v>
      </c>
      <c r="O423" s="35" t="str">
        <f t="shared" si="41"/>
        <v>Terlampir Pada LHE ZI</v>
      </c>
    </row>
    <row r="424" spans="1:15" x14ac:dyDescent="0.25">
      <c r="A424" s="35"/>
      <c r="B424" s="35" t="s">
        <v>157</v>
      </c>
      <c r="C424" s="35" t="s">
        <v>306</v>
      </c>
      <c r="D424" s="36">
        <v>20</v>
      </c>
      <c r="E424" s="36">
        <v>3</v>
      </c>
      <c r="F424" s="36">
        <v>15</v>
      </c>
      <c r="G424" s="36">
        <v>0</v>
      </c>
      <c r="H424" s="36">
        <v>27</v>
      </c>
      <c r="I424" s="36">
        <v>3</v>
      </c>
      <c r="J424" s="37">
        <f t="shared" si="36"/>
        <v>62</v>
      </c>
      <c r="K424" s="37">
        <f t="shared" si="37"/>
        <v>6</v>
      </c>
      <c r="L424" s="38">
        <f t="shared" si="42"/>
        <v>9.6774193548387094E-2</v>
      </c>
      <c r="M424" s="39" t="str">
        <f t="shared" si="39"/>
        <v>0,75</v>
      </c>
      <c r="N424" s="35" t="str">
        <f t="shared" si="40"/>
        <v>Baik</v>
      </c>
      <c r="O424" s="35" t="str">
        <f t="shared" si="41"/>
        <v>Terlampir Pada LHE ZI</v>
      </c>
    </row>
    <row r="425" spans="1:15" x14ac:dyDescent="0.25">
      <c r="A425" s="35"/>
      <c r="B425" s="35" t="s">
        <v>158</v>
      </c>
      <c r="C425" s="35" t="s">
        <v>306</v>
      </c>
      <c r="D425" s="36">
        <v>26</v>
      </c>
      <c r="E425" s="36">
        <v>6</v>
      </c>
      <c r="F425" s="36">
        <v>28</v>
      </c>
      <c r="G425" s="36">
        <v>3</v>
      </c>
      <c r="H425" s="36">
        <v>15</v>
      </c>
      <c r="I425" s="36">
        <v>1</v>
      </c>
      <c r="J425" s="37">
        <f t="shared" si="36"/>
        <v>69</v>
      </c>
      <c r="K425" s="37">
        <f t="shared" si="37"/>
        <v>10</v>
      </c>
      <c r="L425" s="38">
        <f t="shared" si="42"/>
        <v>0.14492753623188406</v>
      </c>
      <c r="M425" s="39" t="str">
        <f t="shared" si="39"/>
        <v>1</v>
      </c>
      <c r="N425" s="35" t="str">
        <f t="shared" si="40"/>
        <v>Sangat Baik</v>
      </c>
      <c r="O425" s="35" t="str">
        <f t="shared" si="41"/>
        <v>Terlampir Pada LHE ZI</v>
      </c>
    </row>
    <row r="426" spans="1:15" x14ac:dyDescent="0.25">
      <c r="A426" s="35"/>
      <c r="B426" s="35" t="s">
        <v>159</v>
      </c>
      <c r="C426" s="35" t="s">
        <v>306</v>
      </c>
      <c r="D426" s="36">
        <v>4</v>
      </c>
      <c r="E426" s="36">
        <v>1</v>
      </c>
      <c r="F426" s="36">
        <v>5</v>
      </c>
      <c r="G426" s="36">
        <v>1</v>
      </c>
      <c r="H426" s="36">
        <v>6</v>
      </c>
      <c r="I426" s="36">
        <v>1</v>
      </c>
      <c r="J426" s="37">
        <f t="shared" si="36"/>
        <v>15</v>
      </c>
      <c r="K426" s="37">
        <f t="shared" si="37"/>
        <v>3</v>
      </c>
      <c r="L426" s="38">
        <f t="shared" si="42"/>
        <v>0.2</v>
      </c>
      <c r="M426" s="39" t="str">
        <f t="shared" si="39"/>
        <v>1</v>
      </c>
      <c r="N426" s="35" t="str">
        <f t="shared" si="40"/>
        <v>Sangat Baik</v>
      </c>
      <c r="O426" s="35" t="str">
        <f t="shared" si="41"/>
        <v>Terlampir Pada LHE ZI</v>
      </c>
    </row>
    <row r="427" spans="1:15" x14ac:dyDescent="0.25">
      <c r="A427" s="35"/>
      <c r="B427" s="35" t="s">
        <v>347</v>
      </c>
      <c r="C427" s="35" t="s">
        <v>306</v>
      </c>
      <c r="D427" s="36">
        <v>10</v>
      </c>
      <c r="E427" s="36">
        <v>3</v>
      </c>
      <c r="F427" s="36">
        <v>12</v>
      </c>
      <c r="G427" s="36">
        <v>0</v>
      </c>
      <c r="H427" s="36">
        <v>0</v>
      </c>
      <c r="I427" s="36">
        <v>0</v>
      </c>
      <c r="J427" s="37">
        <f t="shared" si="36"/>
        <v>22</v>
      </c>
      <c r="K427" s="37">
        <f t="shared" si="37"/>
        <v>3</v>
      </c>
      <c r="L427" s="38">
        <f t="shared" si="42"/>
        <v>0.13636363636363635</v>
      </c>
      <c r="M427" s="39" t="str">
        <f t="shared" si="39"/>
        <v>1</v>
      </c>
      <c r="N427" s="35" t="str">
        <f t="shared" si="40"/>
        <v>Sangat Baik</v>
      </c>
      <c r="O427" s="35" t="str">
        <f t="shared" si="41"/>
        <v>Terlampir Pada LHE ZI</v>
      </c>
    </row>
    <row r="428" spans="1:15" x14ac:dyDescent="0.25">
      <c r="A428" s="35"/>
      <c r="B428" s="35" t="s">
        <v>160</v>
      </c>
      <c r="C428" s="35" t="s">
        <v>306</v>
      </c>
      <c r="D428" s="36">
        <v>10</v>
      </c>
      <c r="E428" s="36">
        <v>0</v>
      </c>
      <c r="F428" s="36">
        <v>8</v>
      </c>
      <c r="G428" s="36">
        <v>0</v>
      </c>
      <c r="H428" s="36">
        <v>17</v>
      </c>
      <c r="I428" s="36">
        <v>1</v>
      </c>
      <c r="J428" s="37">
        <f t="shared" si="36"/>
        <v>35</v>
      </c>
      <c r="K428" s="37">
        <f t="shared" si="37"/>
        <v>1</v>
      </c>
      <c r="L428" s="38">
        <f t="shared" si="42"/>
        <v>2.8571428571428571E-2</v>
      </c>
      <c r="M428" s="39" t="str">
        <f t="shared" si="39"/>
        <v>0,75</v>
      </c>
      <c r="N428" s="35" t="str">
        <f t="shared" si="40"/>
        <v>Baik</v>
      </c>
      <c r="O428" s="35" t="str">
        <f t="shared" si="41"/>
        <v>Terlampir Pada LHE ZI</v>
      </c>
    </row>
    <row r="429" spans="1:15" x14ac:dyDescent="0.25">
      <c r="A429" s="35"/>
      <c r="B429" s="35" t="s">
        <v>161</v>
      </c>
      <c r="C429" s="35" t="s">
        <v>306</v>
      </c>
      <c r="D429" s="36">
        <v>4</v>
      </c>
      <c r="E429" s="36">
        <v>1</v>
      </c>
      <c r="F429" s="36">
        <v>3</v>
      </c>
      <c r="G429" s="36">
        <v>0</v>
      </c>
      <c r="H429" s="36">
        <v>4</v>
      </c>
      <c r="I429" s="36">
        <v>1</v>
      </c>
      <c r="J429" s="37">
        <f t="shared" si="36"/>
        <v>11</v>
      </c>
      <c r="K429" s="37">
        <f t="shared" si="37"/>
        <v>2</v>
      </c>
      <c r="L429" s="38">
        <f t="shared" si="42"/>
        <v>0.18181818181818182</v>
      </c>
      <c r="M429" s="39" t="str">
        <f t="shared" si="39"/>
        <v>1</v>
      </c>
      <c r="N429" s="35" t="str">
        <f t="shared" si="40"/>
        <v>Sangat Baik</v>
      </c>
      <c r="O429" s="35" t="str">
        <f t="shared" si="41"/>
        <v>Terlampir Pada LHE ZI</v>
      </c>
    </row>
    <row r="430" spans="1:15" x14ac:dyDescent="0.25">
      <c r="A430" s="35"/>
      <c r="B430" s="35" t="s">
        <v>162</v>
      </c>
      <c r="C430" s="35" t="s">
        <v>306</v>
      </c>
      <c r="D430" s="36">
        <v>0</v>
      </c>
      <c r="E430" s="36">
        <v>0</v>
      </c>
      <c r="F430" s="36">
        <v>5</v>
      </c>
      <c r="G430" s="36">
        <v>1</v>
      </c>
      <c r="H430" s="36">
        <v>7</v>
      </c>
      <c r="I430" s="36">
        <v>1</v>
      </c>
      <c r="J430" s="37">
        <f t="shared" si="36"/>
        <v>12</v>
      </c>
      <c r="K430" s="37">
        <f t="shared" si="37"/>
        <v>2</v>
      </c>
      <c r="L430" s="38">
        <f t="shared" si="42"/>
        <v>0.16666666666666666</v>
      </c>
      <c r="M430" s="39" t="str">
        <f t="shared" si="39"/>
        <v>1</v>
      </c>
      <c r="N430" s="35" t="str">
        <f t="shared" si="40"/>
        <v>Sangat Baik</v>
      </c>
      <c r="O430" s="35" t="str">
        <f t="shared" si="41"/>
        <v>Terlampir Pada LHE ZI</v>
      </c>
    </row>
    <row r="431" spans="1:15" x14ac:dyDescent="0.25">
      <c r="A431" s="35"/>
      <c r="B431" s="35" t="s">
        <v>163</v>
      </c>
      <c r="C431" s="35" t="s">
        <v>306</v>
      </c>
      <c r="D431" s="36">
        <v>10</v>
      </c>
      <c r="E431" s="36">
        <v>0</v>
      </c>
      <c r="F431" s="36">
        <v>0</v>
      </c>
      <c r="G431" s="36">
        <v>0</v>
      </c>
      <c r="H431" s="36">
        <v>5</v>
      </c>
      <c r="I431" s="36">
        <v>0</v>
      </c>
      <c r="J431" s="37">
        <f t="shared" si="36"/>
        <v>15</v>
      </c>
      <c r="K431" s="37">
        <f t="shared" si="37"/>
        <v>0</v>
      </c>
      <c r="L431" s="38">
        <f t="shared" si="42"/>
        <v>0</v>
      </c>
      <c r="M431" s="39" t="str">
        <f t="shared" si="39"/>
        <v>0,5</v>
      </c>
      <c r="N431" s="35" t="str">
        <f t="shared" si="40"/>
        <v>Cukup</v>
      </c>
      <c r="O431" s="35" t="str">
        <f t="shared" si="41"/>
        <v>Terlampir Pada LHE ZI</v>
      </c>
    </row>
    <row r="432" spans="1:15" x14ac:dyDescent="0.25">
      <c r="A432" s="35"/>
      <c r="B432" s="35" t="s">
        <v>164</v>
      </c>
      <c r="C432" s="35" t="s">
        <v>306</v>
      </c>
      <c r="D432" s="36">
        <v>6</v>
      </c>
      <c r="E432" s="36">
        <v>2</v>
      </c>
      <c r="F432" s="36">
        <v>4</v>
      </c>
      <c r="G432" s="36">
        <v>0</v>
      </c>
      <c r="H432" s="36">
        <v>8</v>
      </c>
      <c r="I432" s="36">
        <v>4</v>
      </c>
      <c r="J432" s="37">
        <f t="shared" si="36"/>
        <v>18</v>
      </c>
      <c r="K432" s="37">
        <f t="shared" si="37"/>
        <v>6</v>
      </c>
      <c r="L432" s="38">
        <f t="shared" si="42"/>
        <v>0.33333333333333331</v>
      </c>
      <c r="M432" s="39" t="str">
        <f t="shared" si="39"/>
        <v>1</v>
      </c>
      <c r="N432" s="35" t="str">
        <f t="shared" si="40"/>
        <v>Sangat Baik</v>
      </c>
      <c r="O432" s="35" t="str">
        <f t="shared" si="41"/>
        <v>Terlampir Pada LHE ZI</v>
      </c>
    </row>
    <row r="433" spans="1:15" x14ac:dyDescent="0.25">
      <c r="A433" s="35"/>
      <c r="B433" s="35" t="s">
        <v>165</v>
      </c>
      <c r="C433" s="35" t="s">
        <v>306</v>
      </c>
      <c r="D433" s="36">
        <v>10</v>
      </c>
      <c r="E433" s="36">
        <v>0</v>
      </c>
      <c r="F433" s="36">
        <v>21</v>
      </c>
      <c r="G433" s="36">
        <v>3</v>
      </c>
      <c r="H433" s="36">
        <v>25</v>
      </c>
      <c r="I433" s="36">
        <v>1</v>
      </c>
      <c r="J433" s="37">
        <f t="shared" si="36"/>
        <v>56</v>
      </c>
      <c r="K433" s="37">
        <f t="shared" si="37"/>
        <v>4</v>
      </c>
      <c r="L433" s="38">
        <f t="shared" si="42"/>
        <v>7.1428571428571425E-2</v>
      </c>
      <c r="M433" s="39" t="str">
        <f t="shared" si="39"/>
        <v>0,75</v>
      </c>
      <c r="N433" s="35" t="str">
        <f t="shared" si="40"/>
        <v>Baik</v>
      </c>
      <c r="O433" s="35" t="str">
        <f t="shared" si="41"/>
        <v>Terlampir Pada LHE ZI</v>
      </c>
    </row>
    <row r="434" spans="1:15" x14ac:dyDescent="0.25">
      <c r="A434" s="35"/>
      <c r="B434" s="35" t="s">
        <v>166</v>
      </c>
      <c r="C434" s="35" t="s">
        <v>306</v>
      </c>
      <c r="D434" s="36">
        <v>20</v>
      </c>
      <c r="E434" s="36">
        <v>6</v>
      </c>
      <c r="F434" s="36">
        <v>60</v>
      </c>
      <c r="G434" s="36">
        <v>6</v>
      </c>
      <c r="H434" s="36">
        <v>27</v>
      </c>
      <c r="I434" s="36">
        <v>12</v>
      </c>
      <c r="J434" s="37">
        <f t="shared" si="36"/>
        <v>107</v>
      </c>
      <c r="K434" s="37">
        <f t="shared" si="37"/>
        <v>24</v>
      </c>
      <c r="L434" s="38">
        <f t="shared" si="42"/>
        <v>0.22429906542056074</v>
      </c>
      <c r="M434" s="39" t="str">
        <f t="shared" si="39"/>
        <v>1</v>
      </c>
      <c r="N434" s="35" t="str">
        <f t="shared" si="40"/>
        <v>Sangat Baik</v>
      </c>
      <c r="O434" s="35" t="str">
        <f t="shared" si="41"/>
        <v>Terlampir Pada LHE ZI</v>
      </c>
    </row>
    <row r="435" spans="1:15" x14ac:dyDescent="0.25">
      <c r="A435" s="35"/>
      <c r="B435" s="35" t="s">
        <v>167</v>
      </c>
      <c r="C435" s="35" t="s">
        <v>306</v>
      </c>
      <c r="D435" s="36">
        <v>10</v>
      </c>
      <c r="E435" s="36">
        <v>1</v>
      </c>
      <c r="F435" s="36">
        <v>9</v>
      </c>
      <c r="G435" s="36">
        <v>1</v>
      </c>
      <c r="H435" s="36">
        <v>10</v>
      </c>
      <c r="I435" s="36">
        <v>0</v>
      </c>
      <c r="J435" s="37">
        <f t="shared" si="36"/>
        <v>29</v>
      </c>
      <c r="K435" s="37">
        <f t="shared" si="37"/>
        <v>2</v>
      </c>
      <c r="L435" s="38">
        <f t="shared" si="42"/>
        <v>6.8965517241379309E-2</v>
      </c>
      <c r="M435" s="39" t="str">
        <f t="shared" si="39"/>
        <v>0,75</v>
      </c>
      <c r="N435" s="35" t="str">
        <f t="shared" si="40"/>
        <v>Baik</v>
      </c>
      <c r="O435" s="35" t="str">
        <f t="shared" si="41"/>
        <v>Terlampir Pada LHE ZI</v>
      </c>
    </row>
    <row r="436" spans="1:15" x14ac:dyDescent="0.25">
      <c r="A436" s="35"/>
      <c r="B436" s="35" t="s">
        <v>406</v>
      </c>
      <c r="C436" s="35" t="s">
        <v>306</v>
      </c>
      <c r="D436" s="36">
        <v>15</v>
      </c>
      <c r="E436" s="36">
        <v>3</v>
      </c>
      <c r="F436" s="36">
        <v>57</v>
      </c>
      <c r="G436" s="36">
        <v>2</v>
      </c>
      <c r="H436" s="36">
        <v>0</v>
      </c>
      <c r="I436" s="36">
        <v>0</v>
      </c>
      <c r="J436" s="37">
        <f t="shared" si="36"/>
        <v>72</v>
      </c>
      <c r="K436" s="37">
        <f t="shared" si="37"/>
        <v>5</v>
      </c>
      <c r="L436" s="38">
        <f t="shared" si="42"/>
        <v>6.9444444444444448E-2</v>
      </c>
      <c r="M436" s="39" t="str">
        <f t="shared" si="39"/>
        <v>0,75</v>
      </c>
      <c r="N436" s="35" t="str">
        <f t="shared" si="40"/>
        <v>Baik</v>
      </c>
      <c r="O436" s="35" t="str">
        <f t="shared" si="41"/>
        <v>Terlampir Pada LHE ZI</v>
      </c>
    </row>
    <row r="437" spans="1:15" x14ac:dyDescent="0.25">
      <c r="A437" s="35"/>
      <c r="B437" s="35" t="s">
        <v>168</v>
      </c>
      <c r="C437" s="35" t="s">
        <v>306</v>
      </c>
      <c r="D437" s="36">
        <v>4</v>
      </c>
      <c r="E437" s="36">
        <v>0</v>
      </c>
      <c r="F437" s="36">
        <v>4</v>
      </c>
      <c r="G437" s="36">
        <v>0</v>
      </c>
      <c r="H437" s="36">
        <v>1</v>
      </c>
      <c r="I437" s="36">
        <v>0</v>
      </c>
      <c r="J437" s="37">
        <f t="shared" si="36"/>
        <v>9</v>
      </c>
      <c r="K437" s="37">
        <f t="shared" si="37"/>
        <v>0</v>
      </c>
      <c r="L437" s="38">
        <f t="shared" si="42"/>
        <v>0</v>
      </c>
      <c r="M437" s="39" t="str">
        <f t="shared" si="39"/>
        <v>0,5</v>
      </c>
      <c r="N437" s="35" t="str">
        <f t="shared" si="40"/>
        <v>Cukup</v>
      </c>
      <c r="O437" s="35" t="str">
        <f t="shared" si="41"/>
        <v>Terlampir Pada LHE ZI</v>
      </c>
    </row>
    <row r="438" spans="1:15" x14ac:dyDescent="0.25">
      <c r="A438" s="35"/>
      <c r="B438" s="35" t="s">
        <v>299</v>
      </c>
      <c r="C438" s="35" t="s">
        <v>306</v>
      </c>
      <c r="D438" s="36">
        <v>25</v>
      </c>
      <c r="E438" s="36">
        <v>3</v>
      </c>
      <c r="F438" s="36">
        <v>40</v>
      </c>
      <c r="G438" s="36">
        <v>0</v>
      </c>
      <c r="H438" s="36">
        <v>108</v>
      </c>
      <c r="I438" s="36">
        <v>45.5</v>
      </c>
      <c r="J438" s="37">
        <f t="shared" si="36"/>
        <v>173</v>
      </c>
      <c r="K438" s="37">
        <f t="shared" si="37"/>
        <v>48.5</v>
      </c>
      <c r="L438" s="38">
        <f t="shared" si="42"/>
        <v>0.28034682080924855</v>
      </c>
      <c r="M438" s="39" t="str">
        <f t="shared" si="39"/>
        <v>1</v>
      </c>
      <c r="N438" s="35" t="str">
        <f t="shared" si="40"/>
        <v>Sangat Baik</v>
      </c>
      <c r="O438" s="35" t="str">
        <f t="shared" si="41"/>
        <v>Terlampir Pada LHE ZI</v>
      </c>
    </row>
    <row r="439" spans="1:15" x14ac:dyDescent="0.25">
      <c r="A439" s="35"/>
      <c r="B439" s="35" t="s">
        <v>170</v>
      </c>
      <c r="C439" s="35" t="s">
        <v>306</v>
      </c>
      <c r="D439" s="36">
        <v>10</v>
      </c>
      <c r="E439" s="36">
        <v>4</v>
      </c>
      <c r="F439" s="36">
        <v>20</v>
      </c>
      <c r="G439" s="36">
        <v>1</v>
      </c>
      <c r="H439" s="36">
        <v>7</v>
      </c>
      <c r="I439" s="36">
        <v>2</v>
      </c>
      <c r="J439" s="37">
        <f t="shared" si="36"/>
        <v>37</v>
      </c>
      <c r="K439" s="37">
        <f t="shared" si="37"/>
        <v>7</v>
      </c>
      <c r="L439" s="38">
        <f t="shared" si="42"/>
        <v>0.1891891891891892</v>
      </c>
      <c r="M439" s="39" t="str">
        <f t="shared" si="39"/>
        <v>1</v>
      </c>
      <c r="N439" s="35" t="str">
        <f t="shared" si="40"/>
        <v>Sangat Baik</v>
      </c>
      <c r="O439" s="35" t="str">
        <f t="shared" si="41"/>
        <v>Terlampir Pada LHE ZI</v>
      </c>
    </row>
    <row r="440" spans="1:15" x14ac:dyDescent="0.25">
      <c r="A440" s="35"/>
      <c r="B440" s="35" t="s">
        <v>171</v>
      </c>
      <c r="C440" s="35" t="s">
        <v>306</v>
      </c>
      <c r="D440" s="36">
        <v>10</v>
      </c>
      <c r="E440" s="36">
        <v>1</v>
      </c>
      <c r="F440" s="36">
        <v>8</v>
      </c>
      <c r="G440" s="36">
        <v>3</v>
      </c>
      <c r="H440" s="36">
        <v>9</v>
      </c>
      <c r="I440" s="36">
        <v>5</v>
      </c>
      <c r="J440" s="37">
        <f t="shared" si="36"/>
        <v>27</v>
      </c>
      <c r="K440" s="37">
        <f t="shared" si="37"/>
        <v>9</v>
      </c>
      <c r="L440" s="38">
        <f t="shared" si="42"/>
        <v>0.33333333333333331</v>
      </c>
      <c r="M440" s="39" t="str">
        <f t="shared" si="39"/>
        <v>1</v>
      </c>
      <c r="N440" s="35" t="str">
        <f t="shared" si="40"/>
        <v>Sangat Baik</v>
      </c>
      <c r="O440" s="35" t="str">
        <f t="shared" si="41"/>
        <v>Terlampir Pada LHE ZI</v>
      </c>
    </row>
    <row r="441" spans="1:15" x14ac:dyDescent="0.25">
      <c r="A441" s="35"/>
      <c r="B441" s="35" t="s">
        <v>172</v>
      </c>
      <c r="C441" s="35" t="s">
        <v>307</v>
      </c>
      <c r="D441" s="36">
        <v>2</v>
      </c>
      <c r="E441" s="36">
        <v>0</v>
      </c>
      <c r="F441" s="36">
        <v>4</v>
      </c>
      <c r="G441" s="36">
        <v>0</v>
      </c>
      <c r="H441" s="36">
        <v>3</v>
      </c>
      <c r="I441" s="36">
        <v>2</v>
      </c>
      <c r="J441" s="37">
        <f t="shared" si="36"/>
        <v>9</v>
      </c>
      <c r="K441" s="37">
        <f t="shared" si="37"/>
        <v>2</v>
      </c>
      <c r="L441" s="38">
        <f t="shared" si="42"/>
        <v>0.22222222222222221</v>
      </c>
      <c r="M441" s="39" t="str">
        <f t="shared" si="39"/>
        <v>1,5</v>
      </c>
      <c r="N441" s="35" t="str">
        <f t="shared" si="40"/>
        <v>Sangat Baik</v>
      </c>
      <c r="O441" s="35" t="str">
        <f t="shared" si="41"/>
        <v>Terlampir Pada LHE ZI</v>
      </c>
    </row>
    <row r="442" spans="1:15" x14ac:dyDescent="0.25">
      <c r="A442" s="35"/>
      <c r="B442" s="35" t="s">
        <v>173</v>
      </c>
      <c r="C442" s="35" t="s">
        <v>307</v>
      </c>
      <c r="D442" s="36">
        <v>5</v>
      </c>
      <c r="E442" s="36">
        <v>1</v>
      </c>
      <c r="F442" s="36">
        <v>11</v>
      </c>
      <c r="G442" s="36">
        <v>1</v>
      </c>
      <c r="H442" s="36">
        <v>4</v>
      </c>
      <c r="I442" s="36">
        <v>0</v>
      </c>
      <c r="J442" s="37">
        <f t="shared" si="36"/>
        <v>20</v>
      </c>
      <c r="K442" s="37">
        <f t="shared" si="37"/>
        <v>2</v>
      </c>
      <c r="L442" s="38">
        <f t="shared" si="42"/>
        <v>0.1</v>
      </c>
      <c r="M442" s="39" t="str">
        <f t="shared" si="39"/>
        <v>0,75</v>
      </c>
      <c r="N442" s="35" t="str">
        <f t="shared" si="40"/>
        <v>Baik</v>
      </c>
      <c r="O442" s="35" t="str">
        <f t="shared" si="41"/>
        <v>Terlampir Pada LHE ZI</v>
      </c>
    </row>
    <row r="443" spans="1:15" x14ac:dyDescent="0.25">
      <c r="A443" s="35"/>
      <c r="B443" s="35" t="s">
        <v>174</v>
      </c>
      <c r="C443" s="35" t="s">
        <v>307</v>
      </c>
      <c r="D443" s="36">
        <v>0</v>
      </c>
      <c r="E443" s="36">
        <v>0</v>
      </c>
      <c r="F443" s="36">
        <v>0</v>
      </c>
      <c r="G443" s="36">
        <v>0</v>
      </c>
      <c r="H443" s="36">
        <v>4</v>
      </c>
      <c r="I443" s="36">
        <v>0</v>
      </c>
      <c r="J443" s="37">
        <f t="shared" si="36"/>
        <v>4</v>
      </c>
      <c r="K443" s="37">
        <f t="shared" si="37"/>
        <v>0</v>
      </c>
      <c r="L443" s="38">
        <f t="shared" si="42"/>
        <v>0</v>
      </c>
      <c r="M443" s="39" t="str">
        <f t="shared" si="39"/>
        <v>0,5</v>
      </c>
      <c r="N443" s="35" t="str">
        <f t="shared" si="40"/>
        <v>Cukup</v>
      </c>
      <c r="O443" s="35" t="str">
        <f t="shared" si="41"/>
        <v>Terlampir Pada LHE ZI</v>
      </c>
    </row>
    <row r="444" spans="1:15" x14ac:dyDescent="0.25">
      <c r="A444" s="35"/>
      <c r="B444" s="35" t="s">
        <v>175</v>
      </c>
      <c r="C444" s="35" t="s">
        <v>307</v>
      </c>
      <c r="D444" s="36">
        <v>0</v>
      </c>
      <c r="E444" s="36">
        <v>0</v>
      </c>
      <c r="F444" s="36">
        <v>1</v>
      </c>
      <c r="G444" s="36">
        <v>0</v>
      </c>
      <c r="H444" s="36">
        <v>1</v>
      </c>
      <c r="I444" s="36">
        <v>1</v>
      </c>
      <c r="J444" s="37">
        <f t="shared" si="36"/>
        <v>2</v>
      </c>
      <c r="K444" s="37">
        <f t="shared" si="37"/>
        <v>1</v>
      </c>
      <c r="L444" s="38">
        <f t="shared" si="42"/>
        <v>0.5</v>
      </c>
      <c r="M444" s="39" t="str">
        <f t="shared" si="39"/>
        <v>2,5</v>
      </c>
      <c r="N444" s="35" t="str">
        <f t="shared" si="40"/>
        <v>Memuaskan</v>
      </c>
      <c r="O444" s="35" t="str">
        <f t="shared" si="41"/>
        <v>Terlampir Pada LHE ZI</v>
      </c>
    </row>
    <row r="445" spans="1:15" x14ac:dyDescent="0.25">
      <c r="A445" s="35"/>
      <c r="B445" s="35" t="s">
        <v>176</v>
      </c>
      <c r="C445" s="35" t="s">
        <v>307</v>
      </c>
      <c r="D445" s="36">
        <v>3</v>
      </c>
      <c r="E445" s="36">
        <v>0</v>
      </c>
      <c r="F445" s="36">
        <v>4</v>
      </c>
      <c r="G445" s="36">
        <v>0</v>
      </c>
      <c r="H445" s="36">
        <v>2</v>
      </c>
      <c r="I445" s="36">
        <v>1</v>
      </c>
      <c r="J445" s="37">
        <f t="shared" si="36"/>
        <v>9</v>
      </c>
      <c r="K445" s="37">
        <f t="shared" si="37"/>
        <v>1</v>
      </c>
      <c r="L445" s="38">
        <f t="shared" si="42"/>
        <v>0.1111111111111111</v>
      </c>
      <c r="M445" s="39" t="str">
        <f t="shared" si="39"/>
        <v>1,5</v>
      </c>
      <c r="N445" s="35" t="str">
        <f t="shared" si="40"/>
        <v>Sangat Baik</v>
      </c>
      <c r="O445" s="35" t="str">
        <f t="shared" si="41"/>
        <v>Terlampir Pada LHE ZI</v>
      </c>
    </row>
    <row r="446" spans="1:15" x14ac:dyDescent="0.25">
      <c r="A446" s="35"/>
      <c r="B446" s="35" t="s">
        <v>394</v>
      </c>
      <c r="C446" s="35" t="s">
        <v>307</v>
      </c>
      <c r="D446" s="36">
        <v>3</v>
      </c>
      <c r="E446" s="36">
        <v>0</v>
      </c>
      <c r="F446" s="36">
        <v>0</v>
      </c>
      <c r="G446" s="36">
        <v>0</v>
      </c>
      <c r="H446" s="36">
        <v>0</v>
      </c>
      <c r="I446" s="36">
        <v>0</v>
      </c>
      <c r="J446" s="37">
        <f t="shared" si="36"/>
        <v>3</v>
      </c>
      <c r="K446" s="37">
        <f t="shared" si="37"/>
        <v>0</v>
      </c>
      <c r="L446" s="38">
        <f t="shared" si="42"/>
        <v>0</v>
      </c>
      <c r="M446" s="39" t="str">
        <f t="shared" si="39"/>
        <v>0,5</v>
      </c>
      <c r="N446" s="35" t="str">
        <f t="shared" si="40"/>
        <v>Cukup</v>
      </c>
      <c r="O446" s="35" t="str">
        <f t="shared" si="41"/>
        <v>Terlampir Pada LHE ZI</v>
      </c>
    </row>
    <row r="447" spans="1:15" x14ac:dyDescent="0.25">
      <c r="A447" s="35"/>
      <c r="B447" s="35" t="s">
        <v>177</v>
      </c>
      <c r="C447" s="35" t="s">
        <v>307</v>
      </c>
      <c r="D447" s="36">
        <v>3</v>
      </c>
      <c r="E447" s="36">
        <v>0</v>
      </c>
      <c r="F447" s="36">
        <v>3</v>
      </c>
      <c r="G447" s="36">
        <v>0</v>
      </c>
      <c r="H447" s="36">
        <v>5</v>
      </c>
      <c r="I447" s="36">
        <v>1</v>
      </c>
      <c r="J447" s="37">
        <f t="shared" si="36"/>
        <v>11</v>
      </c>
      <c r="K447" s="37">
        <f t="shared" si="37"/>
        <v>1</v>
      </c>
      <c r="L447" s="38">
        <f t="shared" si="42"/>
        <v>9.0909090909090912E-2</v>
      </c>
      <c r="M447" s="39" t="str">
        <f t="shared" si="39"/>
        <v>0,75</v>
      </c>
      <c r="N447" s="35" t="str">
        <f t="shared" si="40"/>
        <v>Baik</v>
      </c>
      <c r="O447" s="35" t="str">
        <f t="shared" si="41"/>
        <v>Terlampir Pada LHE ZI</v>
      </c>
    </row>
    <row r="448" spans="1:15" x14ac:dyDescent="0.25">
      <c r="A448" s="35"/>
      <c r="B448" s="35" t="s">
        <v>178</v>
      </c>
      <c r="C448" s="35" t="s">
        <v>307</v>
      </c>
      <c r="D448" s="36">
        <v>0</v>
      </c>
      <c r="E448" s="36">
        <v>0</v>
      </c>
      <c r="F448" s="36">
        <v>2</v>
      </c>
      <c r="G448" s="36">
        <v>0</v>
      </c>
      <c r="H448" s="36">
        <v>2</v>
      </c>
      <c r="I448" s="36">
        <v>0</v>
      </c>
      <c r="J448" s="37">
        <f t="shared" si="36"/>
        <v>4</v>
      </c>
      <c r="K448" s="37">
        <f t="shared" si="37"/>
        <v>0</v>
      </c>
      <c r="L448" s="38">
        <f t="shared" si="42"/>
        <v>0</v>
      </c>
      <c r="M448" s="39" t="str">
        <f t="shared" si="39"/>
        <v>0,5</v>
      </c>
      <c r="N448" s="35" t="str">
        <f t="shared" si="40"/>
        <v>Cukup</v>
      </c>
      <c r="O448" s="35" t="str">
        <f t="shared" si="41"/>
        <v>Terlampir Pada LHE ZI</v>
      </c>
    </row>
    <row r="449" spans="1:15" x14ac:dyDescent="0.25">
      <c r="A449" s="35"/>
      <c r="B449" s="35" t="s">
        <v>179</v>
      </c>
      <c r="C449" s="35" t="s">
        <v>307</v>
      </c>
      <c r="D449" s="36">
        <v>3</v>
      </c>
      <c r="E449" s="36">
        <v>0</v>
      </c>
      <c r="F449" s="36">
        <v>5</v>
      </c>
      <c r="G449" s="36">
        <v>2</v>
      </c>
      <c r="H449" s="36">
        <v>10</v>
      </c>
      <c r="I449" s="36">
        <v>0</v>
      </c>
      <c r="J449" s="37">
        <f t="shared" si="36"/>
        <v>18</v>
      </c>
      <c r="K449" s="37">
        <f t="shared" si="37"/>
        <v>2</v>
      </c>
      <c r="L449" s="38">
        <f t="shared" si="42"/>
        <v>0.1111111111111111</v>
      </c>
      <c r="M449" s="39" t="str">
        <f t="shared" si="39"/>
        <v>1,5</v>
      </c>
      <c r="N449" s="35" t="str">
        <f t="shared" si="40"/>
        <v>Sangat Baik</v>
      </c>
      <c r="O449" s="35" t="str">
        <f t="shared" si="41"/>
        <v>Terlampir Pada LHE ZI</v>
      </c>
    </row>
    <row r="450" spans="1:15" x14ac:dyDescent="0.25">
      <c r="A450" s="35"/>
      <c r="B450" s="35" t="s">
        <v>635</v>
      </c>
      <c r="C450" s="35" t="s">
        <v>307</v>
      </c>
      <c r="D450" s="36">
        <v>0</v>
      </c>
      <c r="E450" s="36">
        <v>0</v>
      </c>
      <c r="F450" s="36">
        <v>0</v>
      </c>
      <c r="G450" s="36">
        <v>0</v>
      </c>
      <c r="H450" s="36">
        <v>0</v>
      </c>
      <c r="I450" s="36">
        <v>0</v>
      </c>
      <c r="J450" s="37">
        <f t="shared" si="36"/>
        <v>0</v>
      </c>
      <c r="K450" s="37">
        <f t="shared" si="37"/>
        <v>0</v>
      </c>
      <c r="L450" s="38" t="e">
        <v>#DIV/0!</v>
      </c>
      <c r="M450" s="39">
        <v>0</v>
      </c>
      <c r="N450" s="35" t="str">
        <f t="shared" si="40"/>
        <v>Kurang</v>
      </c>
      <c r="O450" s="35" t="str">
        <f t="shared" si="41"/>
        <v>Isi Rekomendasi</v>
      </c>
    </row>
    <row r="451" spans="1:15" x14ac:dyDescent="0.25">
      <c r="A451" s="35"/>
      <c r="B451" s="35" t="s">
        <v>180</v>
      </c>
      <c r="C451" s="35" t="s">
        <v>307</v>
      </c>
      <c r="D451" s="36">
        <v>3</v>
      </c>
      <c r="E451" s="36">
        <v>0</v>
      </c>
      <c r="F451" s="36">
        <v>6</v>
      </c>
      <c r="G451" s="36">
        <v>1</v>
      </c>
      <c r="H451" s="36">
        <v>12</v>
      </c>
      <c r="I451" s="36">
        <v>0</v>
      </c>
      <c r="J451" s="37">
        <f t="shared" si="36"/>
        <v>21</v>
      </c>
      <c r="K451" s="37">
        <f t="shared" si="37"/>
        <v>1</v>
      </c>
      <c r="L451" s="38">
        <f t="shared" ref="L451:L465" si="43">K451/J451</f>
        <v>4.7619047619047616E-2</v>
      </c>
      <c r="M451" s="39" t="str">
        <f t="shared" si="39"/>
        <v>0,75</v>
      </c>
      <c r="N451" s="35" t="str">
        <f t="shared" si="40"/>
        <v>Baik</v>
      </c>
      <c r="O451" s="35" t="str">
        <f t="shared" si="41"/>
        <v>Terlampir Pada LHE ZI</v>
      </c>
    </row>
    <row r="452" spans="1:15" x14ac:dyDescent="0.25">
      <c r="A452" s="35"/>
      <c r="B452" s="35" t="s">
        <v>181</v>
      </c>
      <c r="C452" s="35" t="s">
        <v>307</v>
      </c>
      <c r="D452" s="36">
        <v>7</v>
      </c>
      <c r="E452" s="36">
        <v>1</v>
      </c>
      <c r="F452" s="36">
        <v>10</v>
      </c>
      <c r="G452" s="36">
        <v>0</v>
      </c>
      <c r="H452" s="36">
        <v>10</v>
      </c>
      <c r="I452" s="36">
        <v>2</v>
      </c>
      <c r="J452" s="37">
        <f t="shared" ref="J452:J515" si="44">D452+F452+H452</f>
        <v>27</v>
      </c>
      <c r="K452" s="37">
        <f t="shared" ref="K452:K515" si="45">E452+G452+I452</f>
        <v>3</v>
      </c>
      <c r="L452" s="38">
        <f t="shared" si="43"/>
        <v>0.1111111111111111</v>
      </c>
      <c r="M452" s="39" t="str">
        <f t="shared" ref="M452:M514" si="46">IF(AND(C452="KL",L452&gt;75%),"3",IF(AND(C452="KL",L452&gt;40%),"2",IF(AND(C452="KL",L452&gt;10%),"1",IF(AND(C452="KL",L452&gt;0.1%),"0,75",IF(AND(C452="KL",L452&gt;=0%),"0,5",IF(AND(C452="Pemda",L452&gt;75%),"3,5",IF(AND(C452="Pemda",L452&gt;40%),"2,5",IF(AND(C452="Pemda",L452&gt;10%),"1,5",IF(AND(C452="Pemda",L452&gt;0.1%),"0,75",IF(AND(C452="Pemda",L452&gt;=0%),"0,5","0"))))))))))</f>
        <v>1,5</v>
      </c>
      <c r="N452" s="35" t="str">
        <f t="shared" ref="N452:N515" si="47">_xlfn.IFS(AND(C452="KL",M452="3"),"Sangat Memuaskan",AND(C452="Pemda",M452="3,5"),"Sangat Memuaskan",AND(C452="KL",M452="2"),"Memuaskan",AND(C452="Pemda",M452="2,5"),"Memuaskan",AND(C452="KL",M452="1"),"Sangat Baik",AND(C452="Pemda",M452="1,5"),"Sangat Baik",AND(C452="KL",M452="0,75"),"Baik",AND(C452="Pemda",M452="0,75"),"Baik",AND(C452="KL",M452="0,5"),"Cukup",AND(C452="Pemda",M452="0,5"),"Cukup",AND(C452="KL",M452&lt;0.5),"Kurang",AND(C452="Pemda",M452&lt;0.5),"Kurang")</f>
        <v>Sangat Baik</v>
      </c>
      <c r="O452" s="35" t="str">
        <f t="shared" ref="O452:O515" si="48">IF(N452="Kurang","Isi Rekomendasi","Terlampir Pada LHE ZI")</f>
        <v>Terlampir Pada LHE ZI</v>
      </c>
    </row>
    <row r="453" spans="1:15" x14ac:dyDescent="0.25">
      <c r="A453" s="35"/>
      <c r="B453" s="35" t="s">
        <v>182</v>
      </c>
      <c r="C453" s="35" t="s">
        <v>307</v>
      </c>
      <c r="D453" s="36">
        <v>3</v>
      </c>
      <c r="E453" s="36">
        <v>0</v>
      </c>
      <c r="F453" s="36">
        <v>0</v>
      </c>
      <c r="G453" s="36">
        <v>0</v>
      </c>
      <c r="H453" s="36">
        <v>2</v>
      </c>
      <c r="I453" s="36">
        <v>0</v>
      </c>
      <c r="J453" s="37">
        <f t="shared" si="44"/>
        <v>5</v>
      </c>
      <c r="K453" s="37">
        <f t="shared" si="45"/>
        <v>0</v>
      </c>
      <c r="L453" s="38">
        <f t="shared" si="43"/>
        <v>0</v>
      </c>
      <c r="M453" s="39" t="str">
        <f t="shared" si="46"/>
        <v>0,5</v>
      </c>
      <c r="N453" s="35" t="str">
        <f t="shared" si="47"/>
        <v>Cukup</v>
      </c>
      <c r="O453" s="35" t="str">
        <f t="shared" si="48"/>
        <v>Terlampir Pada LHE ZI</v>
      </c>
    </row>
    <row r="454" spans="1:15" x14ac:dyDescent="0.25">
      <c r="A454" s="35"/>
      <c r="B454" s="35" t="s">
        <v>183</v>
      </c>
      <c r="C454" s="35" t="s">
        <v>307</v>
      </c>
      <c r="D454" s="36">
        <v>3</v>
      </c>
      <c r="E454" s="36">
        <v>0</v>
      </c>
      <c r="F454" s="36">
        <v>3</v>
      </c>
      <c r="G454" s="36">
        <v>1</v>
      </c>
      <c r="H454" s="36">
        <v>2</v>
      </c>
      <c r="I454" s="36">
        <v>2</v>
      </c>
      <c r="J454" s="37">
        <f t="shared" si="44"/>
        <v>8</v>
      </c>
      <c r="K454" s="37">
        <f t="shared" si="45"/>
        <v>3</v>
      </c>
      <c r="L454" s="38">
        <f t="shared" si="43"/>
        <v>0.375</v>
      </c>
      <c r="M454" s="39" t="str">
        <f t="shared" si="46"/>
        <v>1,5</v>
      </c>
      <c r="N454" s="35" t="str">
        <f t="shared" si="47"/>
        <v>Sangat Baik</v>
      </c>
      <c r="O454" s="35" t="str">
        <f t="shared" si="48"/>
        <v>Terlampir Pada LHE ZI</v>
      </c>
    </row>
    <row r="455" spans="1:15" x14ac:dyDescent="0.25">
      <c r="A455" s="35"/>
      <c r="B455" s="35" t="s">
        <v>184</v>
      </c>
      <c r="C455" s="35" t="s">
        <v>307</v>
      </c>
      <c r="D455" s="36">
        <v>0</v>
      </c>
      <c r="E455" s="36">
        <v>0</v>
      </c>
      <c r="F455" s="36">
        <v>0</v>
      </c>
      <c r="G455" s="36">
        <v>0</v>
      </c>
      <c r="H455" s="36">
        <v>2</v>
      </c>
      <c r="I455" s="36">
        <v>0</v>
      </c>
      <c r="J455" s="37">
        <f t="shared" si="44"/>
        <v>2</v>
      </c>
      <c r="K455" s="37">
        <f t="shared" si="45"/>
        <v>0</v>
      </c>
      <c r="L455" s="38">
        <f t="shared" si="43"/>
        <v>0</v>
      </c>
      <c r="M455" s="39" t="str">
        <f t="shared" si="46"/>
        <v>0,5</v>
      </c>
      <c r="N455" s="35" t="str">
        <f t="shared" si="47"/>
        <v>Cukup</v>
      </c>
      <c r="O455" s="35" t="str">
        <f t="shared" si="48"/>
        <v>Terlampir Pada LHE ZI</v>
      </c>
    </row>
    <row r="456" spans="1:15" x14ac:dyDescent="0.25">
      <c r="A456" s="35"/>
      <c r="B456" s="35" t="s">
        <v>185</v>
      </c>
      <c r="C456" s="35" t="s">
        <v>307</v>
      </c>
      <c r="D456" s="36">
        <v>3</v>
      </c>
      <c r="E456" s="36">
        <v>1</v>
      </c>
      <c r="F456" s="36">
        <v>2</v>
      </c>
      <c r="G456" s="36">
        <v>0</v>
      </c>
      <c r="H456" s="36">
        <v>4</v>
      </c>
      <c r="I456" s="36">
        <v>1</v>
      </c>
      <c r="J456" s="37">
        <f t="shared" si="44"/>
        <v>9</v>
      </c>
      <c r="K456" s="37">
        <f t="shared" si="45"/>
        <v>2</v>
      </c>
      <c r="L456" s="38">
        <f t="shared" si="43"/>
        <v>0.22222222222222221</v>
      </c>
      <c r="M456" s="39" t="str">
        <f t="shared" si="46"/>
        <v>1,5</v>
      </c>
      <c r="N456" s="35" t="str">
        <f t="shared" si="47"/>
        <v>Sangat Baik</v>
      </c>
      <c r="O456" s="35" t="str">
        <f t="shared" si="48"/>
        <v>Terlampir Pada LHE ZI</v>
      </c>
    </row>
    <row r="457" spans="1:15" x14ac:dyDescent="0.25">
      <c r="A457" s="35"/>
      <c r="B457" s="35" t="s">
        <v>186</v>
      </c>
      <c r="C457" s="35" t="s">
        <v>307</v>
      </c>
      <c r="D457" s="36">
        <v>3</v>
      </c>
      <c r="E457" s="36">
        <v>0</v>
      </c>
      <c r="F457" s="36">
        <v>5</v>
      </c>
      <c r="G457" s="36">
        <v>0</v>
      </c>
      <c r="H457" s="36">
        <v>4</v>
      </c>
      <c r="I457" s="36">
        <v>1</v>
      </c>
      <c r="J457" s="37">
        <f t="shared" si="44"/>
        <v>12</v>
      </c>
      <c r="K457" s="37">
        <f t="shared" si="45"/>
        <v>1</v>
      </c>
      <c r="L457" s="38">
        <f t="shared" si="43"/>
        <v>8.3333333333333329E-2</v>
      </c>
      <c r="M457" s="39" t="str">
        <f t="shared" si="46"/>
        <v>0,75</v>
      </c>
      <c r="N457" s="35" t="str">
        <f t="shared" si="47"/>
        <v>Baik</v>
      </c>
      <c r="O457" s="35" t="str">
        <f t="shared" si="48"/>
        <v>Terlampir Pada LHE ZI</v>
      </c>
    </row>
    <row r="458" spans="1:15" x14ac:dyDescent="0.25">
      <c r="A458" s="35"/>
      <c r="B458" s="35" t="s">
        <v>187</v>
      </c>
      <c r="C458" s="35" t="s">
        <v>307</v>
      </c>
      <c r="D458" s="36">
        <v>6</v>
      </c>
      <c r="E458" s="36">
        <v>1</v>
      </c>
      <c r="F458" s="36">
        <v>3</v>
      </c>
      <c r="G458" s="36">
        <v>0</v>
      </c>
      <c r="H458" s="36">
        <v>2</v>
      </c>
      <c r="I458" s="36">
        <v>1</v>
      </c>
      <c r="J458" s="37">
        <f t="shared" si="44"/>
        <v>11</v>
      </c>
      <c r="K458" s="37">
        <f t="shared" si="45"/>
        <v>2</v>
      </c>
      <c r="L458" s="38">
        <f t="shared" si="43"/>
        <v>0.18181818181818182</v>
      </c>
      <c r="M458" s="39" t="str">
        <f t="shared" si="46"/>
        <v>1,5</v>
      </c>
      <c r="N458" s="35" t="str">
        <f t="shared" si="47"/>
        <v>Sangat Baik</v>
      </c>
      <c r="O458" s="35" t="str">
        <f t="shared" si="48"/>
        <v>Terlampir Pada LHE ZI</v>
      </c>
    </row>
    <row r="459" spans="1:15" x14ac:dyDescent="0.25">
      <c r="A459" s="35"/>
      <c r="B459" s="35" t="s">
        <v>188</v>
      </c>
      <c r="C459" s="35" t="s">
        <v>307</v>
      </c>
      <c r="D459" s="36">
        <v>3</v>
      </c>
      <c r="E459" s="36">
        <v>0</v>
      </c>
      <c r="F459" s="36">
        <v>7</v>
      </c>
      <c r="G459" s="36">
        <v>2</v>
      </c>
      <c r="H459" s="36">
        <v>3</v>
      </c>
      <c r="I459" s="36">
        <v>2</v>
      </c>
      <c r="J459" s="37">
        <f t="shared" si="44"/>
        <v>13</v>
      </c>
      <c r="K459" s="37">
        <f t="shared" si="45"/>
        <v>4</v>
      </c>
      <c r="L459" s="38">
        <f t="shared" si="43"/>
        <v>0.30769230769230771</v>
      </c>
      <c r="M459" s="39" t="str">
        <f t="shared" si="46"/>
        <v>1,5</v>
      </c>
      <c r="N459" s="35" t="str">
        <f t="shared" si="47"/>
        <v>Sangat Baik</v>
      </c>
      <c r="O459" s="35" t="str">
        <f t="shared" si="48"/>
        <v>Terlampir Pada LHE ZI</v>
      </c>
    </row>
    <row r="460" spans="1:15" x14ac:dyDescent="0.25">
      <c r="A460" s="35"/>
      <c r="B460" s="35" t="s">
        <v>189</v>
      </c>
      <c r="C460" s="35" t="s">
        <v>307</v>
      </c>
      <c r="D460" s="36">
        <v>3</v>
      </c>
      <c r="E460" s="36">
        <v>1</v>
      </c>
      <c r="F460" s="36">
        <v>3</v>
      </c>
      <c r="G460" s="36">
        <v>0</v>
      </c>
      <c r="H460" s="36">
        <v>2</v>
      </c>
      <c r="I460" s="36">
        <v>0</v>
      </c>
      <c r="J460" s="37">
        <f t="shared" si="44"/>
        <v>8</v>
      </c>
      <c r="K460" s="37">
        <f t="shared" si="45"/>
        <v>1</v>
      </c>
      <c r="L460" s="38">
        <f t="shared" si="43"/>
        <v>0.125</v>
      </c>
      <c r="M460" s="39" t="str">
        <f t="shared" si="46"/>
        <v>1,5</v>
      </c>
      <c r="N460" s="35" t="str">
        <f t="shared" si="47"/>
        <v>Sangat Baik</v>
      </c>
      <c r="O460" s="35" t="str">
        <f t="shared" si="48"/>
        <v>Terlampir Pada LHE ZI</v>
      </c>
    </row>
    <row r="461" spans="1:15" x14ac:dyDescent="0.25">
      <c r="A461" s="35"/>
      <c r="B461" s="35" t="s">
        <v>190</v>
      </c>
      <c r="C461" s="35" t="s">
        <v>307</v>
      </c>
      <c r="D461" s="36">
        <v>2</v>
      </c>
      <c r="E461" s="36">
        <v>1</v>
      </c>
      <c r="F461" s="36">
        <v>3</v>
      </c>
      <c r="G461" s="36">
        <v>0</v>
      </c>
      <c r="H461" s="36">
        <v>6</v>
      </c>
      <c r="I461" s="36">
        <v>0</v>
      </c>
      <c r="J461" s="37">
        <f t="shared" si="44"/>
        <v>11</v>
      </c>
      <c r="K461" s="37">
        <f t="shared" si="45"/>
        <v>1</v>
      </c>
      <c r="L461" s="38">
        <f t="shared" si="43"/>
        <v>9.0909090909090912E-2</v>
      </c>
      <c r="M461" s="39" t="str">
        <f t="shared" si="46"/>
        <v>0,75</v>
      </c>
      <c r="N461" s="35" t="str">
        <f t="shared" si="47"/>
        <v>Baik</v>
      </c>
      <c r="O461" s="35" t="str">
        <f t="shared" si="48"/>
        <v>Terlampir Pada LHE ZI</v>
      </c>
    </row>
    <row r="462" spans="1:15" x14ac:dyDescent="0.25">
      <c r="A462" s="35"/>
      <c r="B462" s="35" t="s">
        <v>191</v>
      </c>
      <c r="C462" s="35" t="s">
        <v>307</v>
      </c>
      <c r="D462" s="36">
        <v>3</v>
      </c>
      <c r="E462" s="36">
        <v>2</v>
      </c>
      <c r="F462" s="36">
        <v>5</v>
      </c>
      <c r="G462" s="36">
        <v>0</v>
      </c>
      <c r="H462" s="36">
        <v>9</v>
      </c>
      <c r="I462" s="36">
        <v>0</v>
      </c>
      <c r="J462" s="37">
        <f t="shared" si="44"/>
        <v>17</v>
      </c>
      <c r="K462" s="37">
        <f t="shared" si="45"/>
        <v>2</v>
      </c>
      <c r="L462" s="38">
        <f t="shared" si="43"/>
        <v>0.11764705882352941</v>
      </c>
      <c r="M462" s="39" t="str">
        <f t="shared" si="46"/>
        <v>1,5</v>
      </c>
      <c r="N462" s="35" t="str">
        <f t="shared" si="47"/>
        <v>Sangat Baik</v>
      </c>
      <c r="O462" s="35" t="str">
        <f t="shared" si="48"/>
        <v>Terlampir Pada LHE ZI</v>
      </c>
    </row>
    <row r="463" spans="1:15" x14ac:dyDescent="0.25">
      <c r="A463" s="35"/>
      <c r="B463" s="35" t="s">
        <v>192</v>
      </c>
      <c r="C463" s="35" t="s">
        <v>307</v>
      </c>
      <c r="D463" s="36">
        <v>0</v>
      </c>
      <c r="E463" s="36">
        <v>0</v>
      </c>
      <c r="F463" s="36">
        <v>0</v>
      </c>
      <c r="G463" s="36">
        <v>0</v>
      </c>
      <c r="H463" s="36">
        <v>2</v>
      </c>
      <c r="I463" s="36">
        <v>0</v>
      </c>
      <c r="J463" s="37">
        <f t="shared" si="44"/>
        <v>2</v>
      </c>
      <c r="K463" s="37">
        <f t="shared" si="45"/>
        <v>0</v>
      </c>
      <c r="L463" s="38">
        <f t="shared" si="43"/>
        <v>0</v>
      </c>
      <c r="M463" s="39" t="str">
        <f t="shared" si="46"/>
        <v>0,5</v>
      </c>
      <c r="N463" s="35" t="str">
        <f t="shared" si="47"/>
        <v>Cukup</v>
      </c>
      <c r="O463" s="35" t="str">
        <f t="shared" si="48"/>
        <v>Terlampir Pada LHE ZI</v>
      </c>
    </row>
    <row r="464" spans="1:15" x14ac:dyDescent="0.25">
      <c r="A464" s="35"/>
      <c r="B464" s="35" t="s">
        <v>400</v>
      </c>
      <c r="C464" s="35" t="s">
        <v>307</v>
      </c>
      <c r="D464" s="36">
        <v>3</v>
      </c>
      <c r="E464" s="36">
        <v>1</v>
      </c>
      <c r="F464" s="36">
        <v>0</v>
      </c>
      <c r="G464" s="36">
        <v>0</v>
      </c>
      <c r="H464" s="36">
        <v>0</v>
      </c>
      <c r="I464" s="36">
        <v>0</v>
      </c>
      <c r="J464" s="37">
        <f t="shared" si="44"/>
        <v>3</v>
      </c>
      <c r="K464" s="37">
        <f t="shared" si="45"/>
        <v>1</v>
      </c>
      <c r="L464" s="38">
        <f t="shared" si="43"/>
        <v>0.33333333333333331</v>
      </c>
      <c r="M464" s="39" t="str">
        <f t="shared" si="46"/>
        <v>1,5</v>
      </c>
      <c r="N464" s="35" t="str">
        <f t="shared" si="47"/>
        <v>Sangat Baik</v>
      </c>
      <c r="O464" s="35" t="str">
        <f t="shared" si="48"/>
        <v>Terlampir Pada LHE ZI</v>
      </c>
    </row>
    <row r="465" spans="1:15" x14ac:dyDescent="0.25">
      <c r="A465" s="35"/>
      <c r="B465" s="35" t="s">
        <v>193</v>
      </c>
      <c r="C465" s="35" t="s">
        <v>307</v>
      </c>
      <c r="D465" s="36">
        <v>2</v>
      </c>
      <c r="E465" s="36">
        <v>0</v>
      </c>
      <c r="F465" s="36">
        <v>0</v>
      </c>
      <c r="G465" s="36">
        <v>0</v>
      </c>
      <c r="H465" s="36">
        <v>2</v>
      </c>
      <c r="I465" s="36">
        <v>0</v>
      </c>
      <c r="J465" s="37">
        <f t="shared" si="44"/>
        <v>4</v>
      </c>
      <c r="K465" s="37">
        <f t="shared" si="45"/>
        <v>0</v>
      </c>
      <c r="L465" s="38">
        <f t="shared" si="43"/>
        <v>0</v>
      </c>
      <c r="M465" s="39" t="str">
        <f t="shared" si="46"/>
        <v>0,5</v>
      </c>
      <c r="N465" s="35" t="str">
        <f t="shared" si="47"/>
        <v>Cukup</v>
      </c>
      <c r="O465" s="35" t="str">
        <f t="shared" si="48"/>
        <v>Terlampir Pada LHE ZI</v>
      </c>
    </row>
    <row r="466" spans="1:15" x14ac:dyDescent="0.25">
      <c r="A466" s="35"/>
      <c r="B466" s="35" t="s">
        <v>636</v>
      </c>
      <c r="C466" s="35" t="s">
        <v>307</v>
      </c>
      <c r="D466" s="36">
        <v>0</v>
      </c>
      <c r="E466" s="36">
        <v>0</v>
      </c>
      <c r="F466" s="36">
        <v>0</v>
      </c>
      <c r="G466" s="36">
        <v>0</v>
      </c>
      <c r="H466" s="36">
        <v>0</v>
      </c>
      <c r="I466" s="36">
        <v>0</v>
      </c>
      <c r="J466" s="37">
        <f t="shared" si="44"/>
        <v>0</v>
      </c>
      <c r="K466" s="37">
        <f t="shared" si="45"/>
        <v>0</v>
      </c>
      <c r="L466" s="38" t="e">
        <v>#DIV/0!</v>
      </c>
      <c r="M466" s="39">
        <v>0</v>
      </c>
      <c r="N466" s="35" t="str">
        <f t="shared" si="47"/>
        <v>Kurang</v>
      </c>
      <c r="O466" s="35" t="str">
        <f t="shared" si="48"/>
        <v>Isi Rekomendasi</v>
      </c>
    </row>
    <row r="467" spans="1:15" x14ac:dyDescent="0.25">
      <c r="A467" s="35"/>
      <c r="B467" s="35" t="s">
        <v>194</v>
      </c>
      <c r="C467" s="35" t="s">
        <v>307</v>
      </c>
      <c r="D467" s="36">
        <v>3</v>
      </c>
      <c r="E467" s="36">
        <v>0</v>
      </c>
      <c r="F467" s="36">
        <v>1</v>
      </c>
      <c r="G467" s="36">
        <v>1</v>
      </c>
      <c r="H467" s="36">
        <v>1</v>
      </c>
      <c r="I467" s="36">
        <v>0</v>
      </c>
      <c r="J467" s="37">
        <f t="shared" si="44"/>
        <v>5</v>
      </c>
      <c r="K467" s="37">
        <f t="shared" si="45"/>
        <v>1</v>
      </c>
      <c r="L467" s="38">
        <f t="shared" ref="L467:L479" si="49">K467/J467</f>
        <v>0.2</v>
      </c>
      <c r="M467" s="39" t="str">
        <f t="shared" si="46"/>
        <v>1,5</v>
      </c>
      <c r="N467" s="35" t="str">
        <f t="shared" si="47"/>
        <v>Sangat Baik</v>
      </c>
      <c r="O467" s="35" t="str">
        <f t="shared" si="48"/>
        <v>Terlampir Pada LHE ZI</v>
      </c>
    </row>
    <row r="468" spans="1:15" x14ac:dyDescent="0.25">
      <c r="A468" s="35"/>
      <c r="B468" s="35" t="s">
        <v>195</v>
      </c>
      <c r="C468" s="35" t="s">
        <v>307</v>
      </c>
      <c r="D468" s="36">
        <v>3</v>
      </c>
      <c r="E468" s="36">
        <v>0</v>
      </c>
      <c r="F468" s="36">
        <v>6</v>
      </c>
      <c r="G468" s="36">
        <v>0</v>
      </c>
      <c r="H468" s="36">
        <v>3</v>
      </c>
      <c r="I468" s="36">
        <v>0</v>
      </c>
      <c r="J468" s="37">
        <f t="shared" si="44"/>
        <v>12</v>
      </c>
      <c r="K468" s="37">
        <f t="shared" si="45"/>
        <v>0</v>
      </c>
      <c r="L468" s="38">
        <f t="shared" si="49"/>
        <v>0</v>
      </c>
      <c r="M468" s="39" t="str">
        <f t="shared" si="46"/>
        <v>0,5</v>
      </c>
      <c r="N468" s="35" t="str">
        <f t="shared" si="47"/>
        <v>Cukup</v>
      </c>
      <c r="O468" s="35" t="str">
        <f t="shared" si="48"/>
        <v>Terlampir Pada LHE ZI</v>
      </c>
    </row>
    <row r="469" spans="1:15" x14ac:dyDescent="0.25">
      <c r="A469" s="35"/>
      <c r="B469" s="35" t="s">
        <v>196</v>
      </c>
      <c r="C469" s="35" t="s">
        <v>307</v>
      </c>
      <c r="D469" s="36">
        <v>1</v>
      </c>
      <c r="E469" s="36">
        <v>0</v>
      </c>
      <c r="F469" s="36">
        <v>0</v>
      </c>
      <c r="G469" s="36">
        <v>0</v>
      </c>
      <c r="H469" s="36">
        <v>3</v>
      </c>
      <c r="I469" s="36">
        <v>0</v>
      </c>
      <c r="J469" s="37">
        <f t="shared" si="44"/>
        <v>4</v>
      </c>
      <c r="K469" s="37">
        <f t="shared" si="45"/>
        <v>0</v>
      </c>
      <c r="L469" s="38">
        <f t="shared" si="49"/>
        <v>0</v>
      </c>
      <c r="M469" s="39" t="str">
        <f t="shared" si="46"/>
        <v>0,5</v>
      </c>
      <c r="N469" s="35" t="str">
        <f t="shared" si="47"/>
        <v>Cukup</v>
      </c>
      <c r="O469" s="35" t="str">
        <f t="shared" si="48"/>
        <v>Terlampir Pada LHE ZI</v>
      </c>
    </row>
    <row r="470" spans="1:15" x14ac:dyDescent="0.25">
      <c r="A470" s="35"/>
      <c r="B470" s="35" t="s">
        <v>197</v>
      </c>
      <c r="C470" s="35" t="s">
        <v>307</v>
      </c>
      <c r="D470" s="36">
        <v>2</v>
      </c>
      <c r="E470" s="36">
        <v>0</v>
      </c>
      <c r="F470" s="36">
        <v>3</v>
      </c>
      <c r="G470" s="36">
        <v>0</v>
      </c>
      <c r="H470" s="36">
        <v>2</v>
      </c>
      <c r="I470" s="36">
        <v>0</v>
      </c>
      <c r="J470" s="37">
        <f t="shared" si="44"/>
        <v>7</v>
      </c>
      <c r="K470" s="37">
        <f t="shared" si="45"/>
        <v>0</v>
      </c>
      <c r="L470" s="38">
        <f t="shared" si="49"/>
        <v>0</v>
      </c>
      <c r="M470" s="39" t="str">
        <f t="shared" si="46"/>
        <v>0,5</v>
      </c>
      <c r="N470" s="35" t="str">
        <f t="shared" si="47"/>
        <v>Cukup</v>
      </c>
      <c r="O470" s="35" t="str">
        <f t="shared" si="48"/>
        <v>Terlampir Pada LHE ZI</v>
      </c>
    </row>
    <row r="471" spans="1:15" x14ac:dyDescent="0.25">
      <c r="A471" s="35"/>
      <c r="B471" s="35" t="s">
        <v>401</v>
      </c>
      <c r="C471" s="35" t="s">
        <v>307</v>
      </c>
      <c r="D471" s="36">
        <v>1</v>
      </c>
      <c r="E471" s="36">
        <v>0</v>
      </c>
      <c r="F471" s="36">
        <v>0</v>
      </c>
      <c r="G471" s="36">
        <v>0</v>
      </c>
      <c r="H471" s="36">
        <v>0</v>
      </c>
      <c r="I471" s="36">
        <v>0</v>
      </c>
      <c r="J471" s="37">
        <f t="shared" si="44"/>
        <v>1</v>
      </c>
      <c r="K471" s="37">
        <f t="shared" si="45"/>
        <v>0</v>
      </c>
      <c r="L471" s="38">
        <f t="shared" si="49"/>
        <v>0</v>
      </c>
      <c r="M471" s="39" t="str">
        <f t="shared" si="46"/>
        <v>0,5</v>
      </c>
      <c r="N471" s="35" t="str">
        <f t="shared" si="47"/>
        <v>Cukup</v>
      </c>
      <c r="O471" s="35" t="str">
        <f t="shared" si="48"/>
        <v>Terlampir Pada LHE ZI</v>
      </c>
    </row>
    <row r="472" spans="1:15" x14ac:dyDescent="0.25">
      <c r="A472" s="35"/>
      <c r="B472" s="35" t="s">
        <v>198</v>
      </c>
      <c r="C472" s="35" t="s">
        <v>307</v>
      </c>
      <c r="D472" s="36">
        <v>0</v>
      </c>
      <c r="E472" s="36">
        <v>0</v>
      </c>
      <c r="F472" s="36">
        <v>3</v>
      </c>
      <c r="G472" s="36">
        <v>0</v>
      </c>
      <c r="H472" s="36">
        <v>2</v>
      </c>
      <c r="I472" s="36">
        <v>0</v>
      </c>
      <c r="J472" s="37">
        <f t="shared" si="44"/>
        <v>5</v>
      </c>
      <c r="K472" s="37">
        <f t="shared" si="45"/>
        <v>0</v>
      </c>
      <c r="L472" s="38">
        <f t="shared" si="49"/>
        <v>0</v>
      </c>
      <c r="M472" s="39" t="str">
        <f t="shared" si="46"/>
        <v>0,5</v>
      </c>
      <c r="N472" s="35" t="str">
        <f t="shared" si="47"/>
        <v>Cukup</v>
      </c>
      <c r="O472" s="35" t="str">
        <f t="shared" si="48"/>
        <v>Terlampir Pada LHE ZI</v>
      </c>
    </row>
    <row r="473" spans="1:15" x14ac:dyDescent="0.25">
      <c r="A473" s="35"/>
      <c r="B473" s="35" t="s">
        <v>199</v>
      </c>
      <c r="C473" s="35" t="s">
        <v>307</v>
      </c>
      <c r="D473" s="36">
        <v>2</v>
      </c>
      <c r="E473" s="36">
        <v>0</v>
      </c>
      <c r="F473" s="36">
        <v>1</v>
      </c>
      <c r="G473" s="36">
        <v>0</v>
      </c>
      <c r="H473" s="36">
        <v>1</v>
      </c>
      <c r="I473" s="36">
        <v>0</v>
      </c>
      <c r="J473" s="37">
        <f t="shared" si="44"/>
        <v>4</v>
      </c>
      <c r="K473" s="37">
        <f t="shared" si="45"/>
        <v>0</v>
      </c>
      <c r="L473" s="38">
        <f t="shared" si="49"/>
        <v>0</v>
      </c>
      <c r="M473" s="39" t="str">
        <f t="shared" si="46"/>
        <v>0,5</v>
      </c>
      <c r="N473" s="35" t="str">
        <f t="shared" si="47"/>
        <v>Cukup</v>
      </c>
      <c r="O473" s="35" t="str">
        <f t="shared" si="48"/>
        <v>Terlampir Pada LHE ZI</v>
      </c>
    </row>
    <row r="474" spans="1:15" x14ac:dyDescent="0.25">
      <c r="A474" s="35"/>
      <c r="B474" s="35" t="s">
        <v>200</v>
      </c>
      <c r="C474" s="35" t="s">
        <v>307</v>
      </c>
      <c r="D474" s="36">
        <v>3</v>
      </c>
      <c r="E474" s="36">
        <v>1</v>
      </c>
      <c r="F474" s="36">
        <v>8</v>
      </c>
      <c r="G474" s="36">
        <v>0</v>
      </c>
      <c r="H474" s="36">
        <v>6</v>
      </c>
      <c r="I474" s="36">
        <v>0</v>
      </c>
      <c r="J474" s="37">
        <f t="shared" si="44"/>
        <v>17</v>
      </c>
      <c r="K474" s="37">
        <f t="shared" si="45"/>
        <v>1</v>
      </c>
      <c r="L474" s="38">
        <f t="shared" si="49"/>
        <v>5.8823529411764705E-2</v>
      </c>
      <c r="M474" s="39" t="str">
        <f t="shared" si="46"/>
        <v>0,75</v>
      </c>
      <c r="N474" s="35" t="str">
        <f t="shared" si="47"/>
        <v>Baik</v>
      </c>
      <c r="O474" s="35" t="str">
        <f t="shared" si="48"/>
        <v>Terlampir Pada LHE ZI</v>
      </c>
    </row>
    <row r="475" spans="1:15" x14ac:dyDescent="0.25">
      <c r="A475" s="35"/>
      <c r="B475" s="35" t="s">
        <v>201</v>
      </c>
      <c r="C475" s="35" t="s">
        <v>307</v>
      </c>
      <c r="D475" s="36">
        <v>0</v>
      </c>
      <c r="E475" s="36">
        <v>0</v>
      </c>
      <c r="F475" s="36">
        <v>0</v>
      </c>
      <c r="G475" s="36">
        <v>0</v>
      </c>
      <c r="H475" s="36">
        <v>5</v>
      </c>
      <c r="I475" s="36">
        <v>0</v>
      </c>
      <c r="J475" s="37">
        <f t="shared" si="44"/>
        <v>5</v>
      </c>
      <c r="K475" s="37">
        <f t="shared" si="45"/>
        <v>0</v>
      </c>
      <c r="L475" s="38">
        <f t="shared" si="49"/>
        <v>0</v>
      </c>
      <c r="M475" s="39" t="str">
        <f t="shared" si="46"/>
        <v>0,5</v>
      </c>
      <c r="N475" s="35" t="str">
        <f t="shared" si="47"/>
        <v>Cukup</v>
      </c>
      <c r="O475" s="35" t="str">
        <f t="shared" si="48"/>
        <v>Terlampir Pada LHE ZI</v>
      </c>
    </row>
    <row r="476" spans="1:15" x14ac:dyDescent="0.25">
      <c r="A476" s="35"/>
      <c r="B476" s="35" t="s">
        <v>202</v>
      </c>
      <c r="C476" s="35" t="s">
        <v>307</v>
      </c>
      <c r="D476" s="36">
        <v>0</v>
      </c>
      <c r="E476" s="36">
        <v>0</v>
      </c>
      <c r="F476" s="36">
        <v>0</v>
      </c>
      <c r="G476" s="36">
        <v>0</v>
      </c>
      <c r="H476" s="36">
        <v>3</v>
      </c>
      <c r="I476" s="36">
        <v>0</v>
      </c>
      <c r="J476" s="37">
        <f t="shared" si="44"/>
        <v>3</v>
      </c>
      <c r="K476" s="37">
        <f t="shared" si="45"/>
        <v>0</v>
      </c>
      <c r="L476" s="38">
        <f t="shared" si="49"/>
        <v>0</v>
      </c>
      <c r="M476" s="39" t="str">
        <f t="shared" si="46"/>
        <v>0,5</v>
      </c>
      <c r="N476" s="35" t="str">
        <f t="shared" si="47"/>
        <v>Cukup</v>
      </c>
      <c r="O476" s="35" t="str">
        <f t="shared" si="48"/>
        <v>Terlampir Pada LHE ZI</v>
      </c>
    </row>
    <row r="477" spans="1:15" x14ac:dyDescent="0.25">
      <c r="A477" s="35"/>
      <c r="B477" s="35" t="s">
        <v>203</v>
      </c>
      <c r="C477" s="35" t="s">
        <v>307</v>
      </c>
      <c r="D477" s="36">
        <v>2</v>
      </c>
      <c r="E477" s="36">
        <v>0</v>
      </c>
      <c r="F477" s="36">
        <v>9</v>
      </c>
      <c r="G477" s="36">
        <v>0</v>
      </c>
      <c r="H477" s="36">
        <v>12</v>
      </c>
      <c r="I477" s="36">
        <v>0</v>
      </c>
      <c r="J477" s="37">
        <f t="shared" si="44"/>
        <v>23</v>
      </c>
      <c r="K477" s="37">
        <f t="shared" si="45"/>
        <v>0</v>
      </c>
      <c r="L477" s="38">
        <f t="shared" si="49"/>
        <v>0</v>
      </c>
      <c r="M477" s="39" t="str">
        <f t="shared" si="46"/>
        <v>0,5</v>
      </c>
      <c r="N477" s="35" t="str">
        <f t="shared" si="47"/>
        <v>Cukup</v>
      </c>
      <c r="O477" s="35" t="str">
        <f t="shared" si="48"/>
        <v>Terlampir Pada LHE ZI</v>
      </c>
    </row>
    <row r="478" spans="1:15" x14ac:dyDescent="0.25">
      <c r="A478" s="35"/>
      <c r="B478" s="35" t="s">
        <v>204</v>
      </c>
      <c r="C478" s="35" t="s">
        <v>307</v>
      </c>
      <c r="D478" s="36">
        <v>0</v>
      </c>
      <c r="E478" s="36">
        <v>0</v>
      </c>
      <c r="F478" s="36">
        <v>0</v>
      </c>
      <c r="G478" s="36">
        <v>0</v>
      </c>
      <c r="H478" s="36">
        <v>2</v>
      </c>
      <c r="I478" s="36">
        <v>0</v>
      </c>
      <c r="J478" s="37">
        <f t="shared" si="44"/>
        <v>2</v>
      </c>
      <c r="K478" s="37">
        <f t="shared" si="45"/>
        <v>0</v>
      </c>
      <c r="L478" s="38">
        <f t="shared" si="49"/>
        <v>0</v>
      </c>
      <c r="M478" s="39" t="str">
        <f t="shared" si="46"/>
        <v>0,5</v>
      </c>
      <c r="N478" s="35" t="str">
        <f t="shared" si="47"/>
        <v>Cukup</v>
      </c>
      <c r="O478" s="35" t="str">
        <f t="shared" si="48"/>
        <v>Terlampir Pada LHE ZI</v>
      </c>
    </row>
    <row r="479" spans="1:15" x14ac:dyDescent="0.25">
      <c r="A479" s="35"/>
      <c r="B479" s="35" t="s">
        <v>205</v>
      </c>
      <c r="C479" s="35" t="s">
        <v>307</v>
      </c>
      <c r="D479" s="36">
        <v>3</v>
      </c>
      <c r="E479" s="36">
        <v>0</v>
      </c>
      <c r="F479" s="36">
        <v>6</v>
      </c>
      <c r="G479" s="36">
        <v>2</v>
      </c>
      <c r="H479" s="36">
        <v>8</v>
      </c>
      <c r="I479" s="36">
        <v>3</v>
      </c>
      <c r="J479" s="37">
        <f t="shared" si="44"/>
        <v>17</v>
      </c>
      <c r="K479" s="37">
        <f t="shared" si="45"/>
        <v>5</v>
      </c>
      <c r="L479" s="38">
        <f t="shared" si="49"/>
        <v>0.29411764705882354</v>
      </c>
      <c r="M479" s="39" t="str">
        <f t="shared" si="46"/>
        <v>1,5</v>
      </c>
      <c r="N479" s="35" t="str">
        <f t="shared" si="47"/>
        <v>Sangat Baik</v>
      </c>
      <c r="O479" s="35" t="str">
        <f t="shared" si="48"/>
        <v>Terlampir Pada LHE ZI</v>
      </c>
    </row>
    <row r="480" spans="1:15" x14ac:dyDescent="0.25">
      <c r="A480" s="35"/>
      <c r="B480" s="35" t="s">
        <v>637</v>
      </c>
      <c r="C480" s="35" t="s">
        <v>307</v>
      </c>
      <c r="D480" s="36">
        <v>0</v>
      </c>
      <c r="E480" s="36">
        <v>0</v>
      </c>
      <c r="F480" s="36">
        <v>0</v>
      </c>
      <c r="G480" s="36">
        <v>0</v>
      </c>
      <c r="H480" s="36">
        <v>0</v>
      </c>
      <c r="I480" s="36">
        <v>0</v>
      </c>
      <c r="J480" s="37">
        <f t="shared" si="44"/>
        <v>0</v>
      </c>
      <c r="K480" s="37">
        <f t="shared" si="45"/>
        <v>0</v>
      </c>
      <c r="L480" s="38" t="e">
        <v>#DIV/0!</v>
      </c>
      <c r="M480" s="39">
        <v>0</v>
      </c>
      <c r="N480" s="35" t="str">
        <f t="shared" si="47"/>
        <v>Kurang</v>
      </c>
      <c r="O480" s="35" t="str">
        <f t="shared" si="48"/>
        <v>Isi Rekomendasi</v>
      </c>
    </row>
    <row r="481" spans="1:15" x14ac:dyDescent="0.25">
      <c r="A481" s="35"/>
      <c r="B481" s="35" t="s">
        <v>638</v>
      </c>
      <c r="C481" s="35" t="s">
        <v>307</v>
      </c>
      <c r="D481" s="36">
        <v>0</v>
      </c>
      <c r="E481" s="36">
        <v>0</v>
      </c>
      <c r="F481" s="36">
        <v>0</v>
      </c>
      <c r="G481" s="36">
        <v>0</v>
      </c>
      <c r="H481" s="36">
        <v>0</v>
      </c>
      <c r="I481" s="36">
        <v>0</v>
      </c>
      <c r="J481" s="37">
        <f t="shared" si="44"/>
        <v>0</v>
      </c>
      <c r="K481" s="37">
        <f t="shared" si="45"/>
        <v>0</v>
      </c>
      <c r="L481" s="38" t="e">
        <v>#DIV/0!</v>
      </c>
      <c r="M481" s="39">
        <v>0</v>
      </c>
      <c r="N481" s="35" t="str">
        <f t="shared" si="47"/>
        <v>Kurang</v>
      </c>
      <c r="O481" s="35" t="str">
        <f t="shared" si="48"/>
        <v>Isi Rekomendasi</v>
      </c>
    </row>
    <row r="482" spans="1:15" x14ac:dyDescent="0.25">
      <c r="A482" s="35"/>
      <c r="B482" s="35" t="s">
        <v>639</v>
      </c>
      <c r="C482" s="35" t="s">
        <v>307</v>
      </c>
      <c r="D482" s="36">
        <v>0</v>
      </c>
      <c r="E482" s="36">
        <v>0</v>
      </c>
      <c r="F482" s="36">
        <v>0</v>
      </c>
      <c r="G482" s="36">
        <v>0</v>
      </c>
      <c r="H482" s="36">
        <v>0</v>
      </c>
      <c r="I482" s="36">
        <v>0</v>
      </c>
      <c r="J482" s="37">
        <f t="shared" si="44"/>
        <v>0</v>
      </c>
      <c r="K482" s="37">
        <f t="shared" si="45"/>
        <v>0</v>
      </c>
      <c r="L482" s="38" t="e">
        <v>#DIV/0!</v>
      </c>
      <c r="M482" s="39">
        <v>0</v>
      </c>
      <c r="N482" s="35" t="str">
        <f t="shared" si="47"/>
        <v>Kurang</v>
      </c>
      <c r="O482" s="35" t="str">
        <f t="shared" si="48"/>
        <v>Isi Rekomendasi</v>
      </c>
    </row>
    <row r="483" spans="1:15" x14ac:dyDescent="0.25">
      <c r="A483" s="35"/>
      <c r="B483" s="35" t="s">
        <v>640</v>
      </c>
      <c r="C483" s="35" t="s">
        <v>307</v>
      </c>
      <c r="D483" s="36">
        <v>0</v>
      </c>
      <c r="E483" s="36">
        <v>0</v>
      </c>
      <c r="F483" s="36">
        <v>0</v>
      </c>
      <c r="G483" s="36">
        <v>0</v>
      </c>
      <c r="H483" s="36">
        <v>0</v>
      </c>
      <c r="I483" s="36">
        <v>0</v>
      </c>
      <c r="J483" s="37">
        <f t="shared" si="44"/>
        <v>0</v>
      </c>
      <c r="K483" s="37">
        <f t="shared" si="45"/>
        <v>0</v>
      </c>
      <c r="L483" s="38" t="e">
        <v>#DIV/0!</v>
      </c>
      <c r="M483" s="39">
        <v>0</v>
      </c>
      <c r="N483" s="35" t="str">
        <f t="shared" si="47"/>
        <v>Kurang</v>
      </c>
      <c r="O483" s="35" t="str">
        <f t="shared" si="48"/>
        <v>Isi Rekomendasi</v>
      </c>
    </row>
    <row r="484" spans="1:15" x14ac:dyDescent="0.25">
      <c r="A484" s="35"/>
      <c r="B484" s="35" t="s">
        <v>641</v>
      </c>
      <c r="C484" s="35" t="s">
        <v>307</v>
      </c>
      <c r="D484" s="36">
        <v>0</v>
      </c>
      <c r="E484" s="36">
        <v>0</v>
      </c>
      <c r="F484" s="36">
        <v>0</v>
      </c>
      <c r="G484" s="36">
        <v>0</v>
      </c>
      <c r="H484" s="36">
        <v>0</v>
      </c>
      <c r="I484" s="36">
        <v>0</v>
      </c>
      <c r="J484" s="37">
        <f t="shared" si="44"/>
        <v>0</v>
      </c>
      <c r="K484" s="37">
        <f t="shared" si="45"/>
        <v>0</v>
      </c>
      <c r="L484" s="38" t="e">
        <v>#DIV/0!</v>
      </c>
      <c r="M484" s="39">
        <v>0</v>
      </c>
      <c r="N484" s="35" t="str">
        <f t="shared" si="47"/>
        <v>Kurang</v>
      </c>
      <c r="O484" s="35" t="str">
        <f t="shared" si="48"/>
        <v>Isi Rekomendasi</v>
      </c>
    </row>
    <row r="485" spans="1:15" x14ac:dyDescent="0.25">
      <c r="A485" s="35"/>
      <c r="B485" s="35" t="s">
        <v>206</v>
      </c>
      <c r="C485" s="35" t="s">
        <v>307</v>
      </c>
      <c r="D485" s="36">
        <v>2</v>
      </c>
      <c r="E485" s="36">
        <v>0</v>
      </c>
      <c r="F485" s="36">
        <v>2</v>
      </c>
      <c r="G485" s="36">
        <v>0</v>
      </c>
      <c r="H485" s="36">
        <v>2</v>
      </c>
      <c r="I485" s="36">
        <v>1</v>
      </c>
      <c r="J485" s="37">
        <f t="shared" si="44"/>
        <v>6</v>
      </c>
      <c r="K485" s="37">
        <f t="shared" si="45"/>
        <v>1</v>
      </c>
      <c r="L485" s="38">
        <f>K485/J485</f>
        <v>0.16666666666666666</v>
      </c>
      <c r="M485" s="39" t="str">
        <f t="shared" si="46"/>
        <v>1,5</v>
      </c>
      <c r="N485" s="35" t="str">
        <f t="shared" si="47"/>
        <v>Sangat Baik</v>
      </c>
      <c r="O485" s="35" t="str">
        <f t="shared" si="48"/>
        <v>Terlampir Pada LHE ZI</v>
      </c>
    </row>
    <row r="486" spans="1:15" x14ac:dyDescent="0.25">
      <c r="A486" s="35"/>
      <c r="B486" s="35" t="s">
        <v>395</v>
      </c>
      <c r="C486" s="35" t="s">
        <v>307</v>
      </c>
      <c r="D486" s="36">
        <v>1</v>
      </c>
      <c r="E486" s="36">
        <v>0</v>
      </c>
      <c r="F486" s="36">
        <v>0</v>
      </c>
      <c r="G486" s="36">
        <v>0</v>
      </c>
      <c r="H486" s="36">
        <v>0</v>
      </c>
      <c r="I486" s="36">
        <v>0</v>
      </c>
      <c r="J486" s="37">
        <f t="shared" si="44"/>
        <v>1</v>
      </c>
      <c r="K486" s="37">
        <f t="shared" si="45"/>
        <v>0</v>
      </c>
      <c r="L486" s="38">
        <f>K486/J486</f>
        <v>0</v>
      </c>
      <c r="M486" s="39" t="str">
        <f t="shared" si="46"/>
        <v>0,5</v>
      </c>
      <c r="N486" s="35" t="str">
        <f t="shared" si="47"/>
        <v>Cukup</v>
      </c>
      <c r="O486" s="35" t="str">
        <f t="shared" si="48"/>
        <v>Terlampir Pada LHE ZI</v>
      </c>
    </row>
    <row r="487" spans="1:15" x14ac:dyDescent="0.25">
      <c r="A487" s="35"/>
      <c r="B487" s="35" t="s">
        <v>642</v>
      </c>
      <c r="C487" s="35" t="s">
        <v>307</v>
      </c>
      <c r="D487" s="36">
        <v>0</v>
      </c>
      <c r="E487" s="36">
        <v>0</v>
      </c>
      <c r="F487" s="36">
        <v>0</v>
      </c>
      <c r="G487" s="36">
        <v>0</v>
      </c>
      <c r="H487" s="36">
        <v>0</v>
      </c>
      <c r="I487" s="36">
        <v>0</v>
      </c>
      <c r="J487" s="37">
        <f t="shared" si="44"/>
        <v>0</v>
      </c>
      <c r="K487" s="37">
        <f t="shared" si="45"/>
        <v>0</v>
      </c>
      <c r="L487" s="38" t="e">
        <v>#DIV/0!</v>
      </c>
      <c r="M487" s="39">
        <v>0</v>
      </c>
      <c r="N487" s="35" t="str">
        <f t="shared" si="47"/>
        <v>Kurang</v>
      </c>
      <c r="O487" s="35" t="str">
        <f t="shared" si="48"/>
        <v>Isi Rekomendasi</v>
      </c>
    </row>
    <row r="488" spans="1:15" x14ac:dyDescent="0.25">
      <c r="A488" s="35"/>
      <c r="B488" s="35" t="s">
        <v>643</v>
      </c>
      <c r="C488" s="35" t="s">
        <v>307</v>
      </c>
      <c r="D488" s="36">
        <v>0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7">
        <f t="shared" si="44"/>
        <v>0</v>
      </c>
      <c r="K488" s="37">
        <f t="shared" si="45"/>
        <v>0</v>
      </c>
      <c r="L488" s="38" t="e">
        <v>#DIV/0!</v>
      </c>
      <c r="M488" s="39">
        <v>0</v>
      </c>
      <c r="N488" s="35" t="str">
        <f t="shared" si="47"/>
        <v>Kurang</v>
      </c>
      <c r="O488" s="35" t="str">
        <f t="shared" si="48"/>
        <v>Isi Rekomendasi</v>
      </c>
    </row>
    <row r="489" spans="1:15" x14ac:dyDescent="0.25">
      <c r="A489" s="35"/>
      <c r="B489" s="35" t="s">
        <v>644</v>
      </c>
      <c r="C489" s="35" t="s">
        <v>307</v>
      </c>
      <c r="D489" s="36">
        <v>0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7">
        <f t="shared" si="44"/>
        <v>0</v>
      </c>
      <c r="K489" s="37">
        <f t="shared" si="45"/>
        <v>0</v>
      </c>
      <c r="L489" s="38" t="e">
        <v>#DIV/0!</v>
      </c>
      <c r="M489" s="39">
        <v>0</v>
      </c>
      <c r="N489" s="35" t="str">
        <f t="shared" si="47"/>
        <v>Kurang</v>
      </c>
      <c r="O489" s="35" t="str">
        <f t="shared" si="48"/>
        <v>Isi Rekomendasi</v>
      </c>
    </row>
    <row r="490" spans="1:15" x14ac:dyDescent="0.25">
      <c r="A490" s="35"/>
      <c r="B490" s="35" t="s">
        <v>207</v>
      </c>
      <c r="C490" s="35" t="s">
        <v>307</v>
      </c>
      <c r="D490" s="36">
        <v>3</v>
      </c>
      <c r="E490" s="36">
        <v>0</v>
      </c>
      <c r="F490" s="36">
        <v>0</v>
      </c>
      <c r="G490" s="36">
        <v>0</v>
      </c>
      <c r="H490" s="36">
        <v>3</v>
      </c>
      <c r="I490" s="36">
        <v>0</v>
      </c>
      <c r="J490" s="37">
        <f t="shared" si="44"/>
        <v>6</v>
      </c>
      <c r="K490" s="37">
        <f t="shared" si="45"/>
        <v>0</v>
      </c>
      <c r="L490" s="38">
        <f>K490/J490</f>
        <v>0</v>
      </c>
      <c r="M490" s="39" t="str">
        <f t="shared" si="46"/>
        <v>0,5</v>
      </c>
      <c r="N490" s="35" t="str">
        <f t="shared" si="47"/>
        <v>Cukup</v>
      </c>
      <c r="O490" s="35" t="str">
        <f t="shared" si="48"/>
        <v>Terlampir Pada LHE ZI</v>
      </c>
    </row>
    <row r="491" spans="1:15" x14ac:dyDescent="0.25">
      <c r="A491" s="35"/>
      <c r="B491" s="35" t="s">
        <v>645</v>
      </c>
      <c r="C491" s="35" t="s">
        <v>307</v>
      </c>
      <c r="D491" s="36">
        <v>0</v>
      </c>
      <c r="E491" s="36">
        <v>0</v>
      </c>
      <c r="F491" s="36">
        <v>0</v>
      </c>
      <c r="G491" s="36">
        <v>0</v>
      </c>
      <c r="H491" s="36">
        <v>0</v>
      </c>
      <c r="I491" s="36">
        <v>0</v>
      </c>
      <c r="J491" s="37">
        <f t="shared" si="44"/>
        <v>0</v>
      </c>
      <c r="K491" s="37">
        <f t="shared" si="45"/>
        <v>0</v>
      </c>
      <c r="L491" s="38" t="e">
        <v>#DIV/0!</v>
      </c>
      <c r="M491" s="39">
        <v>0</v>
      </c>
      <c r="N491" s="35" t="str">
        <f t="shared" si="47"/>
        <v>Kurang</v>
      </c>
      <c r="O491" s="35" t="str">
        <f t="shared" si="48"/>
        <v>Isi Rekomendasi</v>
      </c>
    </row>
    <row r="492" spans="1:15" x14ac:dyDescent="0.25">
      <c r="A492" s="35"/>
      <c r="B492" s="35" t="s">
        <v>208</v>
      </c>
      <c r="C492" s="35" t="s">
        <v>307</v>
      </c>
      <c r="D492" s="36">
        <v>0</v>
      </c>
      <c r="E492" s="36">
        <v>0</v>
      </c>
      <c r="F492" s="36">
        <v>0</v>
      </c>
      <c r="G492" s="36">
        <v>0</v>
      </c>
      <c r="H492" s="36">
        <v>3</v>
      </c>
      <c r="I492" s="36">
        <v>0</v>
      </c>
      <c r="J492" s="37">
        <f t="shared" si="44"/>
        <v>3</v>
      </c>
      <c r="K492" s="37">
        <f t="shared" si="45"/>
        <v>0</v>
      </c>
      <c r="L492" s="38">
        <f>K492/J492</f>
        <v>0</v>
      </c>
      <c r="M492" s="39" t="str">
        <f t="shared" si="46"/>
        <v>0,5</v>
      </c>
      <c r="N492" s="35" t="str">
        <f t="shared" si="47"/>
        <v>Cukup</v>
      </c>
      <c r="O492" s="35" t="str">
        <f t="shared" si="48"/>
        <v>Terlampir Pada LHE ZI</v>
      </c>
    </row>
    <row r="493" spans="1:15" x14ac:dyDescent="0.25">
      <c r="A493" s="35"/>
      <c r="B493" s="35" t="s">
        <v>397</v>
      </c>
      <c r="C493" s="35" t="s">
        <v>307</v>
      </c>
      <c r="D493" s="36">
        <v>0</v>
      </c>
      <c r="E493" s="36">
        <v>0</v>
      </c>
      <c r="F493" s="36">
        <v>0</v>
      </c>
      <c r="G493" s="36">
        <v>0</v>
      </c>
      <c r="H493" s="36">
        <v>0</v>
      </c>
      <c r="I493" s="36">
        <v>0</v>
      </c>
      <c r="J493" s="37">
        <f t="shared" si="44"/>
        <v>0</v>
      </c>
      <c r="K493" s="37">
        <f t="shared" si="45"/>
        <v>0</v>
      </c>
      <c r="L493" s="38" t="e">
        <v>#DIV/0!</v>
      </c>
      <c r="M493" s="39">
        <v>0</v>
      </c>
      <c r="N493" s="35" t="str">
        <f t="shared" si="47"/>
        <v>Kurang</v>
      </c>
      <c r="O493" s="35" t="str">
        <f t="shared" si="48"/>
        <v>Isi Rekomendasi</v>
      </c>
    </row>
    <row r="494" spans="1:15" x14ac:dyDescent="0.25">
      <c r="A494" s="35"/>
      <c r="B494" s="35" t="s">
        <v>646</v>
      </c>
      <c r="C494" s="35" t="s">
        <v>307</v>
      </c>
      <c r="D494" s="36">
        <v>0</v>
      </c>
      <c r="E494" s="36">
        <v>0</v>
      </c>
      <c r="F494" s="36">
        <v>0</v>
      </c>
      <c r="G494" s="36">
        <v>0</v>
      </c>
      <c r="H494" s="36">
        <v>0</v>
      </c>
      <c r="I494" s="36">
        <v>0</v>
      </c>
      <c r="J494" s="37">
        <f t="shared" si="44"/>
        <v>0</v>
      </c>
      <c r="K494" s="37">
        <f t="shared" si="45"/>
        <v>0</v>
      </c>
      <c r="L494" s="38" t="e">
        <v>#DIV/0!</v>
      </c>
      <c r="M494" s="39">
        <v>0</v>
      </c>
      <c r="N494" s="35" t="str">
        <f t="shared" si="47"/>
        <v>Kurang</v>
      </c>
      <c r="O494" s="35" t="str">
        <f t="shared" si="48"/>
        <v>Isi Rekomendasi</v>
      </c>
    </row>
    <row r="495" spans="1:15" x14ac:dyDescent="0.25">
      <c r="A495" s="35"/>
      <c r="B495" s="35" t="s">
        <v>399</v>
      </c>
      <c r="C495" s="35" t="s">
        <v>307</v>
      </c>
      <c r="D495" s="36">
        <v>0</v>
      </c>
      <c r="E495" s="36">
        <v>0</v>
      </c>
      <c r="F495" s="36">
        <v>0</v>
      </c>
      <c r="G495" s="36">
        <v>0</v>
      </c>
      <c r="H495" s="36">
        <v>0</v>
      </c>
      <c r="I495" s="36">
        <v>0</v>
      </c>
      <c r="J495" s="37">
        <f t="shared" si="44"/>
        <v>0</v>
      </c>
      <c r="K495" s="37">
        <f t="shared" si="45"/>
        <v>0</v>
      </c>
      <c r="L495" s="38" t="e">
        <v>#DIV/0!</v>
      </c>
      <c r="M495" s="39">
        <v>0</v>
      </c>
      <c r="N495" s="35" t="str">
        <f t="shared" si="47"/>
        <v>Kurang</v>
      </c>
      <c r="O495" s="35" t="str">
        <f t="shared" si="48"/>
        <v>Isi Rekomendasi</v>
      </c>
    </row>
    <row r="496" spans="1:15" x14ac:dyDescent="0.25">
      <c r="A496" s="35"/>
      <c r="B496" s="35" t="s">
        <v>209</v>
      </c>
      <c r="C496" s="35" t="s">
        <v>307</v>
      </c>
      <c r="D496" s="36">
        <v>2</v>
      </c>
      <c r="E496" s="36">
        <v>0</v>
      </c>
      <c r="F496" s="36">
        <v>2</v>
      </c>
      <c r="G496" s="36">
        <v>0</v>
      </c>
      <c r="H496" s="36">
        <v>4</v>
      </c>
      <c r="I496" s="36">
        <v>0</v>
      </c>
      <c r="J496" s="37">
        <f t="shared" si="44"/>
        <v>8</v>
      </c>
      <c r="K496" s="37">
        <f t="shared" si="45"/>
        <v>0</v>
      </c>
      <c r="L496" s="38">
        <f>K496/J496</f>
        <v>0</v>
      </c>
      <c r="M496" s="39" t="str">
        <f t="shared" si="46"/>
        <v>0,5</v>
      </c>
      <c r="N496" s="35" t="str">
        <f t="shared" si="47"/>
        <v>Cukup</v>
      </c>
      <c r="O496" s="35" t="str">
        <f t="shared" si="48"/>
        <v>Terlampir Pada LHE ZI</v>
      </c>
    </row>
    <row r="497" spans="1:15" x14ac:dyDescent="0.25">
      <c r="A497" s="35"/>
      <c r="B497" s="35" t="s">
        <v>210</v>
      </c>
      <c r="C497" s="35" t="s">
        <v>307</v>
      </c>
      <c r="D497" s="36">
        <v>0</v>
      </c>
      <c r="E497" s="36">
        <v>0</v>
      </c>
      <c r="F497" s="36">
        <v>0</v>
      </c>
      <c r="G497" s="36">
        <v>0</v>
      </c>
      <c r="H497" s="36">
        <v>2</v>
      </c>
      <c r="I497" s="36">
        <v>0</v>
      </c>
      <c r="J497" s="37">
        <f t="shared" si="44"/>
        <v>2</v>
      </c>
      <c r="K497" s="37">
        <f t="shared" si="45"/>
        <v>0</v>
      </c>
      <c r="L497" s="38">
        <f>K497/J497</f>
        <v>0</v>
      </c>
      <c r="M497" s="39" t="str">
        <f t="shared" si="46"/>
        <v>0,5</v>
      </c>
      <c r="N497" s="35" t="str">
        <f t="shared" si="47"/>
        <v>Cukup</v>
      </c>
      <c r="O497" s="35" t="str">
        <f t="shared" si="48"/>
        <v>Terlampir Pada LHE ZI</v>
      </c>
    </row>
    <row r="498" spans="1:15" x14ac:dyDescent="0.25">
      <c r="A498" s="35"/>
      <c r="B498" s="35" t="s">
        <v>647</v>
      </c>
      <c r="C498" s="35" t="s">
        <v>307</v>
      </c>
      <c r="D498" s="36">
        <v>0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7">
        <f t="shared" si="44"/>
        <v>0</v>
      </c>
      <c r="K498" s="37">
        <f t="shared" si="45"/>
        <v>0</v>
      </c>
      <c r="L498" s="38" t="e">
        <v>#DIV/0!</v>
      </c>
      <c r="M498" s="39">
        <v>0</v>
      </c>
      <c r="N498" s="35" t="str">
        <f t="shared" si="47"/>
        <v>Kurang</v>
      </c>
      <c r="O498" s="35" t="str">
        <f t="shared" si="48"/>
        <v>Isi Rekomendasi</v>
      </c>
    </row>
    <row r="499" spans="1:15" x14ac:dyDescent="0.25">
      <c r="A499" s="35"/>
      <c r="B499" s="35" t="s">
        <v>211</v>
      </c>
      <c r="C499" s="35" t="s">
        <v>307</v>
      </c>
      <c r="D499" s="36">
        <v>2</v>
      </c>
      <c r="E499" s="36">
        <v>0</v>
      </c>
      <c r="F499" s="36">
        <v>0</v>
      </c>
      <c r="G499" s="36">
        <v>0</v>
      </c>
      <c r="H499" s="36">
        <v>2</v>
      </c>
      <c r="I499" s="36">
        <v>0</v>
      </c>
      <c r="J499" s="37">
        <f t="shared" si="44"/>
        <v>4</v>
      </c>
      <c r="K499" s="37">
        <f t="shared" si="45"/>
        <v>0</v>
      </c>
      <c r="L499" s="38">
        <f>K499/J499</f>
        <v>0</v>
      </c>
      <c r="M499" s="39" t="str">
        <f t="shared" si="46"/>
        <v>0,5</v>
      </c>
      <c r="N499" s="35" t="str">
        <f t="shared" si="47"/>
        <v>Cukup</v>
      </c>
      <c r="O499" s="35" t="str">
        <f t="shared" si="48"/>
        <v>Terlampir Pada LHE ZI</v>
      </c>
    </row>
    <row r="500" spans="1:15" x14ac:dyDescent="0.25">
      <c r="A500" s="35"/>
      <c r="B500" s="35" t="s">
        <v>212</v>
      </c>
      <c r="C500" s="35" t="s">
        <v>307</v>
      </c>
      <c r="D500" s="36">
        <v>1</v>
      </c>
      <c r="E500" s="36">
        <v>0</v>
      </c>
      <c r="F500" s="36">
        <v>0</v>
      </c>
      <c r="G500" s="36">
        <v>0</v>
      </c>
      <c r="H500" s="36">
        <v>2</v>
      </c>
      <c r="I500" s="36">
        <v>0</v>
      </c>
      <c r="J500" s="37">
        <f t="shared" si="44"/>
        <v>3</v>
      </c>
      <c r="K500" s="37">
        <f t="shared" si="45"/>
        <v>0</v>
      </c>
      <c r="L500" s="38">
        <f>K500/J500</f>
        <v>0</v>
      </c>
      <c r="M500" s="39" t="str">
        <f t="shared" si="46"/>
        <v>0,5</v>
      </c>
      <c r="N500" s="35" t="str">
        <f t="shared" si="47"/>
        <v>Cukup</v>
      </c>
      <c r="O500" s="35" t="str">
        <f t="shared" si="48"/>
        <v>Terlampir Pada LHE ZI</v>
      </c>
    </row>
    <row r="501" spans="1:15" x14ac:dyDescent="0.25">
      <c r="A501" s="35"/>
      <c r="B501" s="35" t="s">
        <v>213</v>
      </c>
      <c r="C501" s="35" t="s">
        <v>307</v>
      </c>
      <c r="D501" s="36">
        <v>3</v>
      </c>
      <c r="E501" s="36">
        <v>0</v>
      </c>
      <c r="F501" s="36">
        <v>3</v>
      </c>
      <c r="G501" s="36">
        <v>0</v>
      </c>
      <c r="H501" s="36">
        <v>3</v>
      </c>
      <c r="I501" s="36">
        <v>0</v>
      </c>
      <c r="J501" s="37">
        <f t="shared" si="44"/>
        <v>9</v>
      </c>
      <c r="K501" s="37">
        <f t="shared" si="45"/>
        <v>0</v>
      </c>
      <c r="L501" s="38">
        <f>K501/J501</f>
        <v>0</v>
      </c>
      <c r="M501" s="39" t="str">
        <f t="shared" si="46"/>
        <v>0,5</v>
      </c>
      <c r="N501" s="35" t="str">
        <f t="shared" si="47"/>
        <v>Cukup</v>
      </c>
      <c r="O501" s="35" t="str">
        <f t="shared" si="48"/>
        <v>Terlampir Pada LHE ZI</v>
      </c>
    </row>
    <row r="502" spans="1:15" x14ac:dyDescent="0.25">
      <c r="A502" s="35"/>
      <c r="B502" s="35" t="s">
        <v>648</v>
      </c>
      <c r="C502" s="35" t="s">
        <v>307</v>
      </c>
      <c r="D502" s="36">
        <v>0</v>
      </c>
      <c r="E502" s="36">
        <v>0</v>
      </c>
      <c r="F502" s="36">
        <v>0</v>
      </c>
      <c r="G502" s="36">
        <v>0</v>
      </c>
      <c r="H502" s="36">
        <v>0</v>
      </c>
      <c r="I502" s="36">
        <v>0</v>
      </c>
      <c r="J502" s="37">
        <f t="shared" si="44"/>
        <v>0</v>
      </c>
      <c r="K502" s="37">
        <f t="shared" si="45"/>
        <v>0</v>
      </c>
      <c r="L502" s="38" t="e">
        <v>#DIV/0!</v>
      </c>
      <c r="M502" s="39">
        <v>0</v>
      </c>
      <c r="N502" s="35" t="str">
        <f t="shared" si="47"/>
        <v>Kurang</v>
      </c>
      <c r="O502" s="35" t="str">
        <f t="shared" si="48"/>
        <v>Isi Rekomendasi</v>
      </c>
    </row>
    <row r="503" spans="1:15" x14ac:dyDescent="0.25">
      <c r="A503" s="35"/>
      <c r="B503" s="35" t="s">
        <v>649</v>
      </c>
      <c r="C503" s="35" t="s">
        <v>307</v>
      </c>
      <c r="D503" s="36">
        <v>0</v>
      </c>
      <c r="E503" s="36">
        <v>0</v>
      </c>
      <c r="F503" s="36">
        <v>0</v>
      </c>
      <c r="G503" s="36">
        <v>0</v>
      </c>
      <c r="H503" s="36">
        <v>0</v>
      </c>
      <c r="I503" s="36">
        <v>0</v>
      </c>
      <c r="J503" s="37">
        <f t="shared" si="44"/>
        <v>0</v>
      </c>
      <c r="K503" s="37">
        <f t="shared" si="45"/>
        <v>0</v>
      </c>
      <c r="L503" s="38" t="e">
        <v>#DIV/0!</v>
      </c>
      <c r="M503" s="39">
        <v>0</v>
      </c>
      <c r="N503" s="35" t="str">
        <f t="shared" si="47"/>
        <v>Kurang</v>
      </c>
      <c r="O503" s="35" t="str">
        <f t="shared" si="48"/>
        <v>Isi Rekomendasi</v>
      </c>
    </row>
    <row r="504" spans="1:15" x14ac:dyDescent="0.25">
      <c r="A504" s="35"/>
      <c r="B504" s="35" t="s">
        <v>650</v>
      </c>
      <c r="C504" s="35" t="s">
        <v>307</v>
      </c>
      <c r="D504" s="36">
        <v>0</v>
      </c>
      <c r="E504" s="36">
        <v>0</v>
      </c>
      <c r="F504" s="36">
        <v>0</v>
      </c>
      <c r="G504" s="36">
        <v>0</v>
      </c>
      <c r="H504" s="36">
        <v>0</v>
      </c>
      <c r="I504" s="36">
        <v>0</v>
      </c>
      <c r="J504" s="37">
        <f t="shared" si="44"/>
        <v>0</v>
      </c>
      <c r="K504" s="37">
        <f t="shared" si="45"/>
        <v>0</v>
      </c>
      <c r="L504" s="38" t="e">
        <v>#DIV/0!</v>
      </c>
      <c r="M504" s="39">
        <v>0</v>
      </c>
      <c r="N504" s="35" t="str">
        <f t="shared" si="47"/>
        <v>Kurang</v>
      </c>
      <c r="O504" s="35" t="str">
        <f t="shared" si="48"/>
        <v>Isi Rekomendasi</v>
      </c>
    </row>
    <row r="505" spans="1:15" x14ac:dyDescent="0.25">
      <c r="A505" s="35"/>
      <c r="B505" s="35" t="s">
        <v>214</v>
      </c>
      <c r="C505" s="35" t="s">
        <v>307</v>
      </c>
      <c r="D505" s="36">
        <v>2</v>
      </c>
      <c r="E505" s="36">
        <v>0</v>
      </c>
      <c r="F505" s="36">
        <v>2</v>
      </c>
      <c r="G505" s="36">
        <v>0</v>
      </c>
      <c r="H505" s="36">
        <v>1</v>
      </c>
      <c r="I505" s="36">
        <v>1</v>
      </c>
      <c r="J505" s="37">
        <f t="shared" si="44"/>
        <v>5</v>
      </c>
      <c r="K505" s="37">
        <f t="shared" si="45"/>
        <v>1</v>
      </c>
      <c r="L505" s="38">
        <f>K505/J505</f>
        <v>0.2</v>
      </c>
      <c r="M505" s="39" t="str">
        <f t="shared" si="46"/>
        <v>1,5</v>
      </c>
      <c r="N505" s="35" t="str">
        <f t="shared" si="47"/>
        <v>Sangat Baik</v>
      </c>
      <c r="O505" s="35" t="str">
        <f t="shared" si="48"/>
        <v>Terlampir Pada LHE ZI</v>
      </c>
    </row>
    <row r="506" spans="1:15" x14ac:dyDescent="0.25">
      <c r="A506" s="35"/>
      <c r="B506" s="35" t="s">
        <v>651</v>
      </c>
      <c r="C506" s="35" t="s">
        <v>307</v>
      </c>
      <c r="D506" s="36">
        <v>0</v>
      </c>
      <c r="E506" s="36">
        <v>0</v>
      </c>
      <c r="F506" s="36">
        <v>0</v>
      </c>
      <c r="G506" s="36">
        <v>0</v>
      </c>
      <c r="H506" s="36">
        <v>0</v>
      </c>
      <c r="I506" s="36">
        <v>0</v>
      </c>
      <c r="J506" s="37">
        <f t="shared" si="44"/>
        <v>0</v>
      </c>
      <c r="K506" s="37">
        <f t="shared" si="45"/>
        <v>0</v>
      </c>
      <c r="L506" s="38" t="e">
        <v>#DIV/0!</v>
      </c>
      <c r="M506" s="39">
        <v>0</v>
      </c>
      <c r="N506" s="35" t="str">
        <f t="shared" si="47"/>
        <v>Kurang</v>
      </c>
      <c r="O506" s="35" t="str">
        <f t="shared" si="48"/>
        <v>Isi Rekomendasi</v>
      </c>
    </row>
    <row r="507" spans="1:15" x14ac:dyDescent="0.25">
      <c r="A507" s="35"/>
      <c r="B507" s="35" t="s">
        <v>215</v>
      </c>
      <c r="C507" s="35" t="s">
        <v>307</v>
      </c>
      <c r="D507" s="36">
        <v>3</v>
      </c>
      <c r="E507" s="36">
        <v>0</v>
      </c>
      <c r="F507" s="36">
        <v>3</v>
      </c>
      <c r="G507" s="36">
        <v>0</v>
      </c>
      <c r="H507" s="36">
        <v>13</v>
      </c>
      <c r="I507" s="36">
        <v>2</v>
      </c>
      <c r="J507" s="37">
        <f t="shared" si="44"/>
        <v>19</v>
      </c>
      <c r="K507" s="37">
        <f t="shared" si="45"/>
        <v>2</v>
      </c>
      <c r="L507" s="38">
        <f>K507/J507</f>
        <v>0.10526315789473684</v>
      </c>
      <c r="M507" s="39" t="str">
        <f t="shared" si="46"/>
        <v>1,5</v>
      </c>
      <c r="N507" s="35" t="str">
        <f t="shared" si="47"/>
        <v>Sangat Baik</v>
      </c>
      <c r="O507" s="35" t="str">
        <f t="shared" si="48"/>
        <v>Terlampir Pada LHE ZI</v>
      </c>
    </row>
    <row r="508" spans="1:15" x14ac:dyDescent="0.25">
      <c r="A508" s="35"/>
      <c r="B508" s="35" t="s">
        <v>216</v>
      </c>
      <c r="C508" s="35" t="s">
        <v>307</v>
      </c>
      <c r="D508" s="36">
        <v>1</v>
      </c>
      <c r="E508" s="36">
        <v>0</v>
      </c>
      <c r="F508" s="36">
        <v>1</v>
      </c>
      <c r="G508" s="36">
        <v>0</v>
      </c>
      <c r="H508" s="36">
        <v>1</v>
      </c>
      <c r="I508" s="36">
        <v>0</v>
      </c>
      <c r="J508" s="37">
        <f t="shared" si="44"/>
        <v>3</v>
      </c>
      <c r="K508" s="37">
        <f t="shared" si="45"/>
        <v>0</v>
      </c>
      <c r="L508" s="38">
        <f>K508/J508</f>
        <v>0</v>
      </c>
      <c r="M508" s="39" t="str">
        <f t="shared" si="46"/>
        <v>0,5</v>
      </c>
      <c r="N508" s="35" t="str">
        <f t="shared" si="47"/>
        <v>Cukup</v>
      </c>
      <c r="O508" s="35" t="str">
        <f t="shared" si="48"/>
        <v>Terlampir Pada LHE ZI</v>
      </c>
    </row>
    <row r="509" spans="1:15" x14ac:dyDescent="0.25">
      <c r="A509" s="35"/>
      <c r="B509" s="35" t="s">
        <v>217</v>
      </c>
      <c r="C509" s="35" t="s">
        <v>307</v>
      </c>
      <c r="D509" s="36">
        <v>3</v>
      </c>
      <c r="E509" s="36">
        <v>0</v>
      </c>
      <c r="F509" s="36">
        <v>2</v>
      </c>
      <c r="G509" s="36">
        <v>0</v>
      </c>
      <c r="H509" s="36">
        <v>5</v>
      </c>
      <c r="I509" s="36">
        <v>3</v>
      </c>
      <c r="J509" s="37">
        <f t="shared" si="44"/>
        <v>10</v>
      </c>
      <c r="K509" s="37">
        <f t="shared" si="45"/>
        <v>3</v>
      </c>
      <c r="L509" s="38">
        <f>K509/J509</f>
        <v>0.3</v>
      </c>
      <c r="M509" s="39" t="str">
        <f t="shared" si="46"/>
        <v>1,5</v>
      </c>
      <c r="N509" s="35" t="str">
        <f t="shared" si="47"/>
        <v>Sangat Baik</v>
      </c>
      <c r="O509" s="35" t="str">
        <f t="shared" si="48"/>
        <v>Terlampir Pada LHE ZI</v>
      </c>
    </row>
    <row r="510" spans="1:15" x14ac:dyDescent="0.25">
      <c r="A510" s="35"/>
      <c r="B510" s="35" t="s">
        <v>218</v>
      </c>
      <c r="C510" s="35" t="s">
        <v>307</v>
      </c>
      <c r="D510" s="36">
        <v>0</v>
      </c>
      <c r="E510" s="36">
        <v>0</v>
      </c>
      <c r="F510" s="36">
        <v>0</v>
      </c>
      <c r="G510" s="36">
        <v>0</v>
      </c>
      <c r="H510" s="36">
        <v>1</v>
      </c>
      <c r="I510" s="36">
        <v>1</v>
      </c>
      <c r="J510" s="37">
        <f t="shared" si="44"/>
        <v>1</v>
      </c>
      <c r="K510" s="37">
        <f t="shared" si="45"/>
        <v>1</v>
      </c>
      <c r="L510" s="38">
        <f>K510/J510</f>
        <v>1</v>
      </c>
      <c r="M510" s="39" t="str">
        <f t="shared" si="46"/>
        <v>3,5</v>
      </c>
      <c r="N510" s="35" t="str">
        <f t="shared" si="47"/>
        <v>Sangat Memuaskan</v>
      </c>
      <c r="O510" s="35" t="str">
        <f t="shared" si="48"/>
        <v>Terlampir Pada LHE ZI</v>
      </c>
    </row>
    <row r="511" spans="1:15" x14ac:dyDescent="0.25">
      <c r="A511" s="35"/>
      <c r="B511" s="35" t="s">
        <v>219</v>
      </c>
      <c r="C511" s="35" t="s">
        <v>307</v>
      </c>
      <c r="D511" s="36">
        <v>1</v>
      </c>
      <c r="E511" s="36">
        <v>0</v>
      </c>
      <c r="F511" s="36">
        <v>0</v>
      </c>
      <c r="G511" s="36">
        <v>0</v>
      </c>
      <c r="H511" s="36">
        <v>3</v>
      </c>
      <c r="I511" s="36">
        <v>1</v>
      </c>
      <c r="J511" s="37">
        <f t="shared" si="44"/>
        <v>4</v>
      </c>
      <c r="K511" s="37">
        <f t="shared" si="45"/>
        <v>1</v>
      </c>
      <c r="L511" s="38">
        <f>K511/J511</f>
        <v>0.25</v>
      </c>
      <c r="M511" s="39" t="str">
        <f t="shared" si="46"/>
        <v>1,5</v>
      </c>
      <c r="N511" s="35" t="str">
        <f t="shared" si="47"/>
        <v>Sangat Baik</v>
      </c>
      <c r="O511" s="35" t="str">
        <f t="shared" si="48"/>
        <v>Terlampir Pada LHE ZI</v>
      </c>
    </row>
    <row r="512" spans="1:15" x14ac:dyDescent="0.25">
      <c r="A512" s="35"/>
      <c r="B512" s="35" t="s">
        <v>652</v>
      </c>
      <c r="C512" s="35" t="s">
        <v>307</v>
      </c>
      <c r="D512" s="36">
        <v>0</v>
      </c>
      <c r="E512" s="36">
        <v>0</v>
      </c>
      <c r="F512" s="36">
        <v>0</v>
      </c>
      <c r="G512" s="36">
        <v>0</v>
      </c>
      <c r="H512" s="36">
        <v>0</v>
      </c>
      <c r="I512" s="36">
        <v>0</v>
      </c>
      <c r="J512" s="37">
        <f t="shared" si="44"/>
        <v>0</v>
      </c>
      <c r="K512" s="37">
        <f t="shared" si="45"/>
        <v>0</v>
      </c>
      <c r="L512" s="38" t="e">
        <v>#DIV/0!</v>
      </c>
      <c r="M512" s="39">
        <v>0</v>
      </c>
      <c r="N512" s="35" t="str">
        <f t="shared" si="47"/>
        <v>Kurang</v>
      </c>
      <c r="O512" s="35" t="str">
        <f t="shared" si="48"/>
        <v>Isi Rekomendasi</v>
      </c>
    </row>
    <row r="513" spans="1:15" x14ac:dyDescent="0.25">
      <c r="A513" s="35"/>
      <c r="B513" s="35" t="s">
        <v>653</v>
      </c>
      <c r="C513" s="35" t="s">
        <v>307</v>
      </c>
      <c r="D513" s="36">
        <v>0</v>
      </c>
      <c r="E513" s="36">
        <v>0</v>
      </c>
      <c r="F513" s="36">
        <v>0</v>
      </c>
      <c r="G513" s="36">
        <v>0</v>
      </c>
      <c r="H513" s="36">
        <v>0</v>
      </c>
      <c r="I513" s="36">
        <v>0</v>
      </c>
      <c r="J513" s="37">
        <f t="shared" si="44"/>
        <v>0</v>
      </c>
      <c r="K513" s="37">
        <f t="shared" si="45"/>
        <v>0</v>
      </c>
      <c r="L513" s="38" t="e">
        <v>#DIV/0!</v>
      </c>
      <c r="M513" s="39">
        <v>0</v>
      </c>
      <c r="N513" s="35" t="str">
        <f t="shared" si="47"/>
        <v>Kurang</v>
      </c>
      <c r="O513" s="35" t="str">
        <f t="shared" si="48"/>
        <v>Isi Rekomendasi</v>
      </c>
    </row>
    <row r="514" spans="1:15" x14ac:dyDescent="0.25">
      <c r="A514" s="35"/>
      <c r="B514" s="35" t="s">
        <v>398</v>
      </c>
      <c r="C514" s="35" t="s">
        <v>307</v>
      </c>
      <c r="D514" s="36">
        <v>3</v>
      </c>
      <c r="E514" s="36">
        <v>0</v>
      </c>
      <c r="F514" s="36">
        <v>0</v>
      </c>
      <c r="G514" s="36">
        <v>0</v>
      </c>
      <c r="H514" s="36">
        <v>0</v>
      </c>
      <c r="I514" s="36">
        <v>0</v>
      </c>
      <c r="J514" s="37">
        <f t="shared" si="44"/>
        <v>3</v>
      </c>
      <c r="K514" s="37">
        <f t="shared" si="45"/>
        <v>0</v>
      </c>
      <c r="L514" s="38">
        <f>K514/J514</f>
        <v>0</v>
      </c>
      <c r="M514" s="39" t="str">
        <f t="shared" si="46"/>
        <v>0,5</v>
      </c>
      <c r="N514" s="35" t="str">
        <f t="shared" si="47"/>
        <v>Cukup</v>
      </c>
      <c r="O514" s="35" t="str">
        <f t="shared" si="48"/>
        <v>Terlampir Pada LHE ZI</v>
      </c>
    </row>
    <row r="515" spans="1:15" x14ac:dyDescent="0.25">
      <c r="A515" s="35"/>
      <c r="B515" s="35" t="s">
        <v>654</v>
      </c>
      <c r="C515" s="35" t="s">
        <v>307</v>
      </c>
      <c r="D515" s="36">
        <v>0</v>
      </c>
      <c r="E515" s="36">
        <v>0</v>
      </c>
      <c r="F515" s="36">
        <v>0</v>
      </c>
      <c r="G515" s="36">
        <v>0</v>
      </c>
      <c r="H515" s="36">
        <v>0</v>
      </c>
      <c r="I515" s="36">
        <v>0</v>
      </c>
      <c r="J515" s="37">
        <f t="shared" si="44"/>
        <v>0</v>
      </c>
      <c r="K515" s="37">
        <f t="shared" si="45"/>
        <v>0</v>
      </c>
      <c r="L515" s="38" t="e">
        <v>#DIV/0!</v>
      </c>
      <c r="M515" s="39">
        <v>0</v>
      </c>
      <c r="N515" s="35" t="str">
        <f t="shared" si="47"/>
        <v>Kurang</v>
      </c>
      <c r="O515" s="35" t="str">
        <f t="shared" si="48"/>
        <v>Isi Rekomendasi</v>
      </c>
    </row>
    <row r="516" spans="1:15" x14ac:dyDescent="0.25">
      <c r="A516" s="35"/>
      <c r="B516" s="35" t="s">
        <v>220</v>
      </c>
      <c r="C516" s="35" t="s">
        <v>307</v>
      </c>
      <c r="D516" s="36">
        <v>0</v>
      </c>
      <c r="E516" s="36">
        <v>0</v>
      </c>
      <c r="F516" s="36">
        <v>2</v>
      </c>
      <c r="G516" s="36">
        <v>1</v>
      </c>
      <c r="H516" s="36">
        <v>1</v>
      </c>
      <c r="I516" s="36">
        <v>0</v>
      </c>
      <c r="J516" s="37">
        <f t="shared" ref="J516:J579" si="50">D516+F516+H516</f>
        <v>3</v>
      </c>
      <c r="K516" s="37">
        <f t="shared" ref="K516:K579" si="51">E516+G516+I516</f>
        <v>1</v>
      </c>
      <c r="L516" s="38">
        <f>K516/J516</f>
        <v>0.33333333333333331</v>
      </c>
      <c r="M516" s="39" t="str">
        <f t="shared" ref="M516:M579" si="52">IF(AND(C516="KL",L516&gt;75%),"3",IF(AND(C516="KL",L516&gt;40%),"2",IF(AND(C516="KL",L516&gt;10%),"1",IF(AND(C516="KL",L516&gt;0.1%),"0,75",IF(AND(C516="KL",L516&gt;=0%),"0,5",IF(AND(C516="Pemda",L516&gt;75%),"3,5",IF(AND(C516="Pemda",L516&gt;40%),"2,5",IF(AND(C516="Pemda",L516&gt;10%),"1,5",IF(AND(C516="Pemda",L516&gt;0.1%),"0,75",IF(AND(C516="Pemda",L516&gt;=0%),"0,5","0"))))))))))</f>
        <v>1,5</v>
      </c>
      <c r="N516" s="35" t="str">
        <f t="shared" ref="N516:N579" si="53">_xlfn.IFS(AND(C516="KL",M516="3"),"Sangat Memuaskan",AND(C516="Pemda",M516="3,5"),"Sangat Memuaskan",AND(C516="KL",M516="2"),"Memuaskan",AND(C516="Pemda",M516="2,5"),"Memuaskan",AND(C516="KL",M516="1"),"Sangat Baik",AND(C516="Pemda",M516="1,5"),"Sangat Baik",AND(C516="KL",M516="0,75"),"Baik",AND(C516="Pemda",M516="0,75"),"Baik",AND(C516="KL",M516="0,5"),"Cukup",AND(C516="Pemda",M516="0,5"),"Cukup",AND(C516="KL",M516&lt;0.5),"Kurang",AND(C516="Pemda",M516&lt;0.5),"Kurang")</f>
        <v>Sangat Baik</v>
      </c>
      <c r="O516" s="35" t="str">
        <f t="shared" ref="O516:O579" si="54">IF(N516="Kurang","Isi Rekomendasi","Terlampir Pada LHE ZI")</f>
        <v>Terlampir Pada LHE ZI</v>
      </c>
    </row>
    <row r="517" spans="1:15" x14ac:dyDescent="0.25">
      <c r="A517" s="35"/>
      <c r="B517" s="35" t="s">
        <v>221</v>
      </c>
      <c r="C517" s="35" t="s">
        <v>307</v>
      </c>
      <c r="D517" s="36">
        <v>0</v>
      </c>
      <c r="E517" s="36">
        <v>0</v>
      </c>
      <c r="F517" s="36">
        <v>0</v>
      </c>
      <c r="G517" s="36">
        <v>0</v>
      </c>
      <c r="H517" s="36">
        <v>1</v>
      </c>
      <c r="I517" s="36">
        <v>0</v>
      </c>
      <c r="J517" s="37">
        <f t="shared" si="50"/>
        <v>1</v>
      </c>
      <c r="K517" s="37">
        <f t="shared" si="51"/>
        <v>0</v>
      </c>
      <c r="L517" s="38">
        <f>K517/J517</f>
        <v>0</v>
      </c>
      <c r="M517" s="39" t="str">
        <f t="shared" si="52"/>
        <v>0,5</v>
      </c>
      <c r="N517" s="35" t="str">
        <f t="shared" si="53"/>
        <v>Cukup</v>
      </c>
      <c r="O517" s="35" t="str">
        <f t="shared" si="54"/>
        <v>Terlampir Pada LHE ZI</v>
      </c>
    </row>
    <row r="518" spans="1:15" x14ac:dyDescent="0.25">
      <c r="A518" s="35"/>
      <c r="B518" s="35" t="s">
        <v>655</v>
      </c>
      <c r="C518" s="35" t="s">
        <v>307</v>
      </c>
      <c r="D518" s="36">
        <v>0</v>
      </c>
      <c r="E518" s="36">
        <v>0</v>
      </c>
      <c r="F518" s="36">
        <v>0</v>
      </c>
      <c r="G518" s="36">
        <v>0</v>
      </c>
      <c r="H518" s="36">
        <v>0</v>
      </c>
      <c r="I518" s="36">
        <v>0</v>
      </c>
      <c r="J518" s="37">
        <f t="shared" si="50"/>
        <v>0</v>
      </c>
      <c r="K518" s="37">
        <f t="shared" si="51"/>
        <v>0</v>
      </c>
      <c r="L518" s="38" t="e">
        <v>#DIV/0!</v>
      </c>
      <c r="M518" s="39">
        <v>0</v>
      </c>
      <c r="N518" s="35" t="str">
        <f t="shared" si="53"/>
        <v>Kurang</v>
      </c>
      <c r="O518" s="35" t="str">
        <f t="shared" si="54"/>
        <v>Isi Rekomendasi</v>
      </c>
    </row>
    <row r="519" spans="1:15" x14ac:dyDescent="0.25">
      <c r="A519" s="35"/>
      <c r="B519" s="35" t="s">
        <v>656</v>
      </c>
      <c r="C519" s="35" t="s">
        <v>307</v>
      </c>
      <c r="D519" s="36">
        <v>0</v>
      </c>
      <c r="E519" s="36">
        <v>0</v>
      </c>
      <c r="F519" s="36">
        <v>0</v>
      </c>
      <c r="G519" s="36">
        <v>0</v>
      </c>
      <c r="H519" s="36">
        <v>0</v>
      </c>
      <c r="I519" s="36">
        <v>0</v>
      </c>
      <c r="J519" s="37">
        <f t="shared" si="50"/>
        <v>0</v>
      </c>
      <c r="K519" s="37">
        <f t="shared" si="51"/>
        <v>0</v>
      </c>
      <c r="L519" s="38" t="e">
        <v>#DIV/0!</v>
      </c>
      <c r="M519" s="39">
        <v>0</v>
      </c>
      <c r="N519" s="35" t="str">
        <f t="shared" si="53"/>
        <v>Kurang</v>
      </c>
      <c r="O519" s="35" t="str">
        <f t="shared" si="54"/>
        <v>Isi Rekomendasi</v>
      </c>
    </row>
    <row r="520" spans="1:15" x14ac:dyDescent="0.25">
      <c r="A520" s="35"/>
      <c r="B520" s="35" t="s">
        <v>657</v>
      </c>
      <c r="C520" s="35" t="s">
        <v>307</v>
      </c>
      <c r="D520" s="36">
        <v>0</v>
      </c>
      <c r="E520" s="36">
        <v>0</v>
      </c>
      <c r="F520" s="36">
        <v>0</v>
      </c>
      <c r="G520" s="36">
        <v>0</v>
      </c>
      <c r="H520" s="36">
        <v>0</v>
      </c>
      <c r="I520" s="36">
        <v>0</v>
      </c>
      <c r="J520" s="37">
        <f t="shared" si="50"/>
        <v>0</v>
      </c>
      <c r="K520" s="37">
        <f t="shared" si="51"/>
        <v>0</v>
      </c>
      <c r="L520" s="38" t="e">
        <v>#DIV/0!</v>
      </c>
      <c r="M520" s="39">
        <v>0</v>
      </c>
      <c r="N520" s="35" t="str">
        <f t="shared" si="53"/>
        <v>Kurang</v>
      </c>
      <c r="O520" s="35" t="str">
        <f t="shared" si="54"/>
        <v>Isi Rekomendasi</v>
      </c>
    </row>
    <row r="521" spans="1:15" x14ac:dyDescent="0.25">
      <c r="A521" s="35"/>
      <c r="B521" s="35" t="s">
        <v>658</v>
      </c>
      <c r="C521" s="35" t="s">
        <v>307</v>
      </c>
      <c r="D521" s="36">
        <v>0</v>
      </c>
      <c r="E521" s="36">
        <v>0</v>
      </c>
      <c r="F521" s="36">
        <v>0</v>
      </c>
      <c r="G521" s="36">
        <v>0</v>
      </c>
      <c r="H521" s="36">
        <v>0</v>
      </c>
      <c r="I521" s="36">
        <v>0</v>
      </c>
      <c r="J521" s="37">
        <f t="shared" si="50"/>
        <v>0</v>
      </c>
      <c r="K521" s="37">
        <f t="shared" si="51"/>
        <v>0</v>
      </c>
      <c r="L521" s="38" t="e">
        <v>#DIV/0!</v>
      </c>
      <c r="M521" s="39">
        <v>0</v>
      </c>
      <c r="N521" s="35" t="str">
        <f t="shared" si="53"/>
        <v>Kurang</v>
      </c>
      <c r="O521" s="35" t="str">
        <f t="shared" si="54"/>
        <v>Isi Rekomendasi</v>
      </c>
    </row>
    <row r="522" spans="1:15" x14ac:dyDescent="0.25">
      <c r="A522" s="35"/>
      <c r="B522" s="35" t="s">
        <v>222</v>
      </c>
      <c r="C522" s="35" t="s">
        <v>307</v>
      </c>
      <c r="D522" s="36">
        <v>3</v>
      </c>
      <c r="E522" s="36">
        <v>0</v>
      </c>
      <c r="F522" s="36">
        <v>2</v>
      </c>
      <c r="G522" s="36">
        <v>0</v>
      </c>
      <c r="H522" s="36">
        <v>1</v>
      </c>
      <c r="I522" s="36">
        <v>0</v>
      </c>
      <c r="J522" s="37">
        <f t="shared" si="50"/>
        <v>6</v>
      </c>
      <c r="K522" s="37">
        <f t="shared" si="51"/>
        <v>0</v>
      </c>
      <c r="L522" s="38">
        <f>K522/J522</f>
        <v>0</v>
      </c>
      <c r="M522" s="39" t="str">
        <f t="shared" si="52"/>
        <v>0,5</v>
      </c>
      <c r="N522" s="35" t="str">
        <f t="shared" si="53"/>
        <v>Cukup</v>
      </c>
      <c r="O522" s="35" t="str">
        <f t="shared" si="54"/>
        <v>Terlampir Pada LHE ZI</v>
      </c>
    </row>
    <row r="523" spans="1:15" x14ac:dyDescent="0.25">
      <c r="A523" s="35"/>
      <c r="B523" s="35" t="s">
        <v>659</v>
      </c>
      <c r="C523" s="35" t="s">
        <v>307</v>
      </c>
      <c r="D523" s="36">
        <v>0</v>
      </c>
      <c r="E523" s="36">
        <v>0</v>
      </c>
      <c r="F523" s="36">
        <v>0</v>
      </c>
      <c r="G523" s="36">
        <v>0</v>
      </c>
      <c r="H523" s="36">
        <v>0</v>
      </c>
      <c r="I523" s="36">
        <v>0</v>
      </c>
      <c r="J523" s="37">
        <f t="shared" si="50"/>
        <v>0</v>
      </c>
      <c r="K523" s="37">
        <f t="shared" si="51"/>
        <v>0</v>
      </c>
      <c r="L523" s="38" t="e">
        <v>#DIV/0!</v>
      </c>
      <c r="M523" s="39">
        <v>0</v>
      </c>
      <c r="N523" s="35" t="str">
        <f t="shared" si="53"/>
        <v>Kurang</v>
      </c>
      <c r="O523" s="35" t="str">
        <f t="shared" si="54"/>
        <v>Isi Rekomendasi</v>
      </c>
    </row>
    <row r="524" spans="1:15" x14ac:dyDescent="0.25">
      <c r="A524" s="35"/>
      <c r="B524" s="35" t="s">
        <v>407</v>
      </c>
      <c r="C524" s="35" t="s">
        <v>307</v>
      </c>
      <c r="D524" s="36">
        <v>0</v>
      </c>
      <c r="E524" s="36">
        <v>0</v>
      </c>
      <c r="F524" s="36">
        <v>0</v>
      </c>
      <c r="G524" s="36">
        <v>0</v>
      </c>
      <c r="H524" s="36">
        <v>0</v>
      </c>
      <c r="I524" s="36">
        <v>0</v>
      </c>
      <c r="J524" s="37">
        <f t="shared" si="50"/>
        <v>0</v>
      </c>
      <c r="K524" s="37">
        <f t="shared" si="51"/>
        <v>0</v>
      </c>
      <c r="L524" s="38" t="e">
        <v>#DIV/0!</v>
      </c>
      <c r="M524" s="39">
        <v>0</v>
      </c>
      <c r="N524" s="35" t="str">
        <f t="shared" si="53"/>
        <v>Kurang</v>
      </c>
      <c r="O524" s="35" t="str">
        <f t="shared" si="54"/>
        <v>Isi Rekomendasi</v>
      </c>
    </row>
    <row r="525" spans="1:15" x14ac:dyDescent="0.25">
      <c r="A525" s="35"/>
      <c r="B525" s="35" t="s">
        <v>660</v>
      </c>
      <c r="C525" s="35" t="s">
        <v>307</v>
      </c>
      <c r="D525" s="36">
        <v>0</v>
      </c>
      <c r="E525" s="36">
        <v>0</v>
      </c>
      <c r="F525" s="36">
        <v>0</v>
      </c>
      <c r="G525" s="36">
        <v>0</v>
      </c>
      <c r="H525" s="36">
        <v>0</v>
      </c>
      <c r="I525" s="36">
        <v>0</v>
      </c>
      <c r="J525" s="37">
        <f t="shared" si="50"/>
        <v>0</v>
      </c>
      <c r="K525" s="37">
        <f t="shared" si="51"/>
        <v>0</v>
      </c>
      <c r="L525" s="38" t="e">
        <v>#DIV/0!</v>
      </c>
      <c r="M525" s="39">
        <v>0</v>
      </c>
      <c r="N525" s="35" t="str">
        <f t="shared" si="53"/>
        <v>Kurang</v>
      </c>
      <c r="O525" s="35" t="str">
        <f t="shared" si="54"/>
        <v>Isi Rekomendasi</v>
      </c>
    </row>
    <row r="526" spans="1:15" x14ac:dyDescent="0.25">
      <c r="A526" s="35"/>
      <c r="B526" s="35" t="s">
        <v>661</v>
      </c>
      <c r="C526" s="35" t="s">
        <v>307</v>
      </c>
      <c r="D526" s="36">
        <v>0</v>
      </c>
      <c r="E526" s="36">
        <v>0</v>
      </c>
      <c r="F526" s="36">
        <v>0</v>
      </c>
      <c r="G526" s="36">
        <v>0</v>
      </c>
      <c r="H526" s="36">
        <v>0</v>
      </c>
      <c r="I526" s="36">
        <v>0</v>
      </c>
      <c r="J526" s="37">
        <f t="shared" si="50"/>
        <v>0</v>
      </c>
      <c r="K526" s="37">
        <f t="shared" si="51"/>
        <v>0</v>
      </c>
      <c r="L526" s="38" t="e">
        <v>#DIV/0!</v>
      </c>
      <c r="M526" s="39">
        <v>0</v>
      </c>
      <c r="N526" s="35" t="str">
        <f t="shared" si="53"/>
        <v>Kurang</v>
      </c>
      <c r="O526" s="35" t="str">
        <f t="shared" si="54"/>
        <v>Isi Rekomendasi</v>
      </c>
    </row>
    <row r="527" spans="1:15" x14ac:dyDescent="0.25">
      <c r="A527" s="35"/>
      <c r="B527" s="35" t="s">
        <v>223</v>
      </c>
      <c r="C527" s="35" t="s">
        <v>307</v>
      </c>
      <c r="D527" s="36">
        <v>0</v>
      </c>
      <c r="E527" s="36">
        <v>0</v>
      </c>
      <c r="F527" s="36">
        <v>0</v>
      </c>
      <c r="G527" s="36">
        <v>0</v>
      </c>
      <c r="H527" s="36">
        <v>4</v>
      </c>
      <c r="I527" s="36">
        <v>0</v>
      </c>
      <c r="J527" s="37">
        <f t="shared" si="50"/>
        <v>4</v>
      </c>
      <c r="K527" s="37">
        <f t="shared" si="51"/>
        <v>0</v>
      </c>
      <c r="L527" s="38">
        <f>K527/J527</f>
        <v>0</v>
      </c>
      <c r="M527" s="39" t="str">
        <f t="shared" si="52"/>
        <v>0,5</v>
      </c>
      <c r="N527" s="35" t="str">
        <f t="shared" si="53"/>
        <v>Cukup</v>
      </c>
      <c r="O527" s="35" t="str">
        <f t="shared" si="54"/>
        <v>Terlampir Pada LHE ZI</v>
      </c>
    </row>
    <row r="528" spans="1:15" x14ac:dyDescent="0.25">
      <c r="A528" s="35"/>
      <c r="B528" s="35" t="s">
        <v>662</v>
      </c>
      <c r="C528" s="35" t="s">
        <v>307</v>
      </c>
      <c r="D528" s="36">
        <v>0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7">
        <f t="shared" si="50"/>
        <v>0</v>
      </c>
      <c r="K528" s="37">
        <f t="shared" si="51"/>
        <v>0</v>
      </c>
      <c r="L528" s="38" t="e">
        <v>#DIV/0!</v>
      </c>
      <c r="M528" s="39">
        <v>0</v>
      </c>
      <c r="N528" s="35" t="str">
        <f t="shared" si="53"/>
        <v>Kurang</v>
      </c>
      <c r="O528" s="35" t="str">
        <f t="shared" si="54"/>
        <v>Isi Rekomendasi</v>
      </c>
    </row>
    <row r="529" spans="1:15" x14ac:dyDescent="0.25">
      <c r="A529" s="35"/>
      <c r="B529" s="35" t="s">
        <v>663</v>
      </c>
      <c r="C529" s="35" t="s">
        <v>307</v>
      </c>
      <c r="D529" s="36">
        <v>0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7">
        <f t="shared" si="50"/>
        <v>0</v>
      </c>
      <c r="K529" s="37">
        <f t="shared" si="51"/>
        <v>0</v>
      </c>
      <c r="L529" s="38" t="e">
        <v>#DIV/0!</v>
      </c>
      <c r="M529" s="39">
        <v>0</v>
      </c>
      <c r="N529" s="35" t="str">
        <f t="shared" si="53"/>
        <v>Kurang</v>
      </c>
      <c r="O529" s="35" t="str">
        <f t="shared" si="54"/>
        <v>Isi Rekomendasi</v>
      </c>
    </row>
    <row r="530" spans="1:15" x14ac:dyDescent="0.25">
      <c r="A530" s="35"/>
      <c r="B530" s="35" t="s">
        <v>396</v>
      </c>
      <c r="C530" s="35" t="s">
        <v>307</v>
      </c>
      <c r="D530" s="36">
        <v>3</v>
      </c>
      <c r="E530" s="36">
        <v>0</v>
      </c>
      <c r="F530" s="36">
        <v>2</v>
      </c>
      <c r="G530" s="36">
        <v>0</v>
      </c>
      <c r="H530" s="36">
        <v>0</v>
      </c>
      <c r="I530" s="36">
        <v>0</v>
      </c>
      <c r="J530" s="37">
        <f t="shared" si="50"/>
        <v>5</v>
      </c>
      <c r="K530" s="37">
        <f t="shared" si="51"/>
        <v>0</v>
      </c>
      <c r="L530" s="38">
        <f>K530/J530</f>
        <v>0</v>
      </c>
      <c r="M530" s="39" t="str">
        <f t="shared" si="52"/>
        <v>0,5</v>
      </c>
      <c r="N530" s="35" t="str">
        <f t="shared" si="53"/>
        <v>Cukup</v>
      </c>
      <c r="O530" s="35" t="str">
        <f t="shared" si="54"/>
        <v>Terlampir Pada LHE ZI</v>
      </c>
    </row>
    <row r="531" spans="1:15" x14ac:dyDescent="0.25">
      <c r="A531" s="35"/>
      <c r="B531" s="35" t="s">
        <v>664</v>
      </c>
      <c r="C531" s="35" t="s">
        <v>307</v>
      </c>
      <c r="D531" s="36">
        <v>0</v>
      </c>
      <c r="E531" s="36">
        <v>0</v>
      </c>
      <c r="F531" s="36">
        <v>0</v>
      </c>
      <c r="G531" s="36">
        <v>0</v>
      </c>
      <c r="H531" s="36">
        <v>0</v>
      </c>
      <c r="I531" s="36">
        <v>0</v>
      </c>
      <c r="J531" s="37">
        <f t="shared" si="50"/>
        <v>0</v>
      </c>
      <c r="K531" s="37">
        <f t="shared" si="51"/>
        <v>0</v>
      </c>
      <c r="L531" s="38" t="e">
        <v>#DIV/0!</v>
      </c>
      <c r="M531" s="39">
        <v>0</v>
      </c>
      <c r="N531" s="35" t="str">
        <f t="shared" si="53"/>
        <v>Kurang</v>
      </c>
      <c r="O531" s="35" t="str">
        <f t="shared" si="54"/>
        <v>Isi Rekomendasi</v>
      </c>
    </row>
    <row r="532" spans="1:15" x14ac:dyDescent="0.25">
      <c r="A532" s="35"/>
      <c r="B532" s="35" t="s">
        <v>224</v>
      </c>
      <c r="C532" s="35" t="s">
        <v>307</v>
      </c>
      <c r="D532" s="36">
        <v>1</v>
      </c>
      <c r="E532" s="36">
        <v>0</v>
      </c>
      <c r="F532" s="36">
        <v>2</v>
      </c>
      <c r="G532" s="36">
        <v>0</v>
      </c>
      <c r="H532" s="36">
        <v>2</v>
      </c>
      <c r="I532" s="36">
        <v>1</v>
      </c>
      <c r="J532" s="37">
        <f t="shared" si="50"/>
        <v>5</v>
      </c>
      <c r="K532" s="37">
        <f t="shared" si="51"/>
        <v>1</v>
      </c>
      <c r="L532" s="38">
        <f>K532/J532</f>
        <v>0.2</v>
      </c>
      <c r="M532" s="39" t="str">
        <f t="shared" si="52"/>
        <v>1,5</v>
      </c>
      <c r="N532" s="35" t="str">
        <f t="shared" si="53"/>
        <v>Sangat Baik</v>
      </c>
      <c r="O532" s="35" t="str">
        <f t="shared" si="54"/>
        <v>Terlampir Pada LHE ZI</v>
      </c>
    </row>
    <row r="533" spans="1:15" x14ac:dyDescent="0.25">
      <c r="A533" s="35"/>
      <c r="B533" s="35" t="s">
        <v>393</v>
      </c>
      <c r="C533" s="35" t="s">
        <v>307</v>
      </c>
      <c r="D533" s="36">
        <v>3</v>
      </c>
      <c r="E533" s="36">
        <v>0</v>
      </c>
      <c r="F533" s="36">
        <v>0</v>
      </c>
      <c r="G533" s="36">
        <v>0</v>
      </c>
      <c r="H533" s="36">
        <v>0</v>
      </c>
      <c r="I533" s="36">
        <v>0</v>
      </c>
      <c r="J533" s="37">
        <f t="shared" si="50"/>
        <v>3</v>
      </c>
      <c r="K533" s="37">
        <f t="shared" si="51"/>
        <v>0</v>
      </c>
      <c r="L533" s="38">
        <f>K533/J533</f>
        <v>0</v>
      </c>
      <c r="M533" s="39" t="str">
        <f t="shared" si="52"/>
        <v>0,5</v>
      </c>
      <c r="N533" s="35" t="str">
        <f t="shared" si="53"/>
        <v>Cukup</v>
      </c>
      <c r="O533" s="35" t="str">
        <f t="shared" si="54"/>
        <v>Terlampir Pada LHE ZI</v>
      </c>
    </row>
    <row r="534" spans="1:15" x14ac:dyDescent="0.25">
      <c r="A534" s="35"/>
      <c r="B534" s="35" t="s">
        <v>665</v>
      </c>
      <c r="C534" s="35" t="s">
        <v>306</v>
      </c>
      <c r="D534" s="36">
        <v>0</v>
      </c>
      <c r="E534" s="36">
        <v>0</v>
      </c>
      <c r="F534" s="36">
        <v>0</v>
      </c>
      <c r="G534" s="36">
        <v>0</v>
      </c>
      <c r="H534" s="36">
        <v>0</v>
      </c>
      <c r="I534" s="36">
        <v>0</v>
      </c>
      <c r="J534" s="37">
        <f t="shared" si="50"/>
        <v>0</v>
      </c>
      <c r="K534" s="37">
        <f t="shared" si="51"/>
        <v>0</v>
      </c>
      <c r="L534" s="38" t="e">
        <v>#DIV/0!</v>
      </c>
      <c r="M534" s="39">
        <v>0</v>
      </c>
      <c r="N534" s="35" t="str">
        <f t="shared" si="53"/>
        <v>Kurang</v>
      </c>
      <c r="O534" s="35" t="str">
        <f t="shared" si="54"/>
        <v>Isi Rekomendasi</v>
      </c>
    </row>
    <row r="535" spans="1:15" x14ac:dyDescent="0.25">
      <c r="A535" s="35"/>
      <c r="B535" s="35" t="s">
        <v>666</v>
      </c>
      <c r="C535" s="35" t="s">
        <v>306</v>
      </c>
      <c r="D535" s="36">
        <v>0</v>
      </c>
      <c r="E535" s="36">
        <v>0</v>
      </c>
      <c r="F535" s="36">
        <v>0</v>
      </c>
      <c r="G535" s="36">
        <v>0</v>
      </c>
      <c r="H535" s="36">
        <v>0</v>
      </c>
      <c r="I535" s="36">
        <v>0</v>
      </c>
      <c r="J535" s="37">
        <f t="shared" si="50"/>
        <v>0</v>
      </c>
      <c r="K535" s="37">
        <f t="shared" si="51"/>
        <v>0</v>
      </c>
      <c r="L535" s="38" t="e">
        <v>#DIV/0!</v>
      </c>
      <c r="M535" s="39">
        <v>0</v>
      </c>
      <c r="N535" s="35" t="str">
        <f t="shared" si="53"/>
        <v>Kurang</v>
      </c>
      <c r="O535" s="35" t="str">
        <f t="shared" si="54"/>
        <v>Isi Rekomendasi</v>
      </c>
    </row>
    <row r="536" spans="1:15" x14ac:dyDescent="0.25">
      <c r="A536" s="35"/>
      <c r="B536" s="35" t="s">
        <v>667</v>
      </c>
      <c r="C536" s="35" t="s">
        <v>306</v>
      </c>
      <c r="D536" s="36">
        <v>2</v>
      </c>
      <c r="E536" s="36">
        <v>0</v>
      </c>
      <c r="F536" s="36">
        <v>0</v>
      </c>
      <c r="G536" s="36">
        <v>0</v>
      </c>
      <c r="H536" s="36">
        <v>0</v>
      </c>
      <c r="I536" s="36">
        <v>0</v>
      </c>
      <c r="J536" s="37">
        <f t="shared" si="50"/>
        <v>2</v>
      </c>
      <c r="K536" s="37">
        <f t="shared" si="51"/>
        <v>0</v>
      </c>
      <c r="L536" s="38">
        <f>K536/J536</f>
        <v>0</v>
      </c>
      <c r="M536" s="39" t="str">
        <f t="shared" si="52"/>
        <v>0,5</v>
      </c>
      <c r="N536" s="35" t="str">
        <f t="shared" si="53"/>
        <v>Cukup</v>
      </c>
      <c r="O536" s="35" t="str">
        <f t="shared" si="54"/>
        <v>Terlampir Pada LHE ZI</v>
      </c>
    </row>
    <row r="537" spans="1:15" x14ac:dyDescent="0.25">
      <c r="A537" s="35"/>
      <c r="B537" s="35" t="s">
        <v>668</v>
      </c>
      <c r="C537" s="35" t="s">
        <v>306</v>
      </c>
      <c r="D537" s="36">
        <v>0</v>
      </c>
      <c r="E537" s="36">
        <v>0</v>
      </c>
      <c r="F537" s="36">
        <v>0</v>
      </c>
      <c r="G537" s="36">
        <v>0</v>
      </c>
      <c r="H537" s="36">
        <v>0</v>
      </c>
      <c r="I537" s="36">
        <v>0</v>
      </c>
      <c r="J537" s="37">
        <f t="shared" si="50"/>
        <v>0</v>
      </c>
      <c r="K537" s="37">
        <f t="shared" si="51"/>
        <v>0</v>
      </c>
      <c r="L537" s="38" t="e">
        <v>#DIV/0!</v>
      </c>
      <c r="M537" s="39">
        <v>0</v>
      </c>
      <c r="N537" s="35" t="str">
        <f t="shared" si="53"/>
        <v>Kurang</v>
      </c>
      <c r="O537" s="35" t="str">
        <f t="shared" si="54"/>
        <v>Isi Rekomendasi</v>
      </c>
    </row>
    <row r="538" spans="1:15" x14ac:dyDescent="0.25">
      <c r="A538" s="35"/>
      <c r="B538" s="35" t="s">
        <v>225</v>
      </c>
      <c r="C538" s="35" t="s">
        <v>306</v>
      </c>
      <c r="D538" s="36">
        <v>2</v>
      </c>
      <c r="E538" s="36">
        <v>0</v>
      </c>
      <c r="F538" s="36">
        <v>0</v>
      </c>
      <c r="G538" s="36">
        <v>0</v>
      </c>
      <c r="H538" s="36">
        <v>7</v>
      </c>
      <c r="I538" s="36">
        <v>0</v>
      </c>
      <c r="J538" s="37">
        <f t="shared" si="50"/>
        <v>9</v>
      </c>
      <c r="K538" s="37">
        <f t="shared" si="51"/>
        <v>0</v>
      </c>
      <c r="L538" s="38">
        <f t="shared" ref="L538:L543" si="55">K538/J538</f>
        <v>0</v>
      </c>
      <c r="M538" s="39" t="str">
        <f t="shared" si="52"/>
        <v>0,5</v>
      </c>
      <c r="N538" s="35" t="str">
        <f t="shared" si="53"/>
        <v>Cukup</v>
      </c>
      <c r="O538" s="35" t="str">
        <f t="shared" si="54"/>
        <v>Terlampir Pada LHE ZI</v>
      </c>
    </row>
    <row r="539" spans="1:15" x14ac:dyDescent="0.25">
      <c r="A539" s="35"/>
      <c r="B539" s="35" t="s">
        <v>226</v>
      </c>
      <c r="C539" s="35" t="s">
        <v>306</v>
      </c>
      <c r="D539" s="36">
        <v>8</v>
      </c>
      <c r="E539" s="36">
        <v>0</v>
      </c>
      <c r="F539" s="36">
        <v>0</v>
      </c>
      <c r="G539" s="36">
        <v>0</v>
      </c>
      <c r="H539" s="36">
        <v>5</v>
      </c>
      <c r="I539" s="36">
        <v>0</v>
      </c>
      <c r="J539" s="37">
        <f t="shared" si="50"/>
        <v>13</v>
      </c>
      <c r="K539" s="37">
        <f t="shared" si="51"/>
        <v>0</v>
      </c>
      <c r="L539" s="38">
        <f t="shared" si="55"/>
        <v>0</v>
      </c>
      <c r="M539" s="39" t="str">
        <f t="shared" si="52"/>
        <v>0,5</v>
      </c>
      <c r="N539" s="35" t="str">
        <f t="shared" si="53"/>
        <v>Cukup</v>
      </c>
      <c r="O539" s="35" t="str">
        <f t="shared" si="54"/>
        <v>Terlampir Pada LHE ZI</v>
      </c>
    </row>
    <row r="540" spans="1:15" x14ac:dyDescent="0.25">
      <c r="A540" s="35"/>
      <c r="B540" s="35" t="s">
        <v>297</v>
      </c>
      <c r="C540" s="35" t="s">
        <v>306</v>
      </c>
      <c r="D540" s="36">
        <v>20</v>
      </c>
      <c r="E540" s="36">
        <v>1</v>
      </c>
      <c r="F540" s="36">
        <v>9</v>
      </c>
      <c r="G540" s="36">
        <v>3</v>
      </c>
      <c r="H540" s="36">
        <v>11</v>
      </c>
      <c r="I540" s="36">
        <v>5.5</v>
      </c>
      <c r="J540" s="37">
        <f t="shared" si="50"/>
        <v>40</v>
      </c>
      <c r="K540" s="37">
        <f t="shared" si="51"/>
        <v>9.5</v>
      </c>
      <c r="L540" s="38">
        <f t="shared" si="55"/>
        <v>0.23749999999999999</v>
      </c>
      <c r="M540" s="39" t="str">
        <f t="shared" si="52"/>
        <v>1</v>
      </c>
      <c r="N540" s="35" t="str">
        <f t="shared" si="53"/>
        <v>Sangat Baik</v>
      </c>
      <c r="O540" s="35" t="str">
        <f t="shared" si="54"/>
        <v>Terlampir Pada LHE ZI</v>
      </c>
    </row>
    <row r="541" spans="1:15" x14ac:dyDescent="0.25">
      <c r="A541" s="35"/>
      <c r="B541" s="35" t="s">
        <v>228</v>
      </c>
      <c r="C541" s="35" t="s">
        <v>306</v>
      </c>
      <c r="D541" s="36">
        <v>2</v>
      </c>
      <c r="E541" s="36">
        <v>0</v>
      </c>
      <c r="F541" s="36">
        <v>2</v>
      </c>
      <c r="G541" s="36">
        <v>0</v>
      </c>
      <c r="H541" s="36">
        <v>2</v>
      </c>
      <c r="I541" s="36">
        <v>0</v>
      </c>
      <c r="J541" s="37">
        <f t="shared" si="50"/>
        <v>6</v>
      </c>
      <c r="K541" s="37">
        <f t="shared" si="51"/>
        <v>0</v>
      </c>
      <c r="L541" s="38">
        <f t="shared" si="55"/>
        <v>0</v>
      </c>
      <c r="M541" s="39" t="str">
        <f t="shared" si="52"/>
        <v>0,5</v>
      </c>
      <c r="N541" s="35" t="str">
        <f t="shared" si="53"/>
        <v>Cukup</v>
      </c>
      <c r="O541" s="35" t="str">
        <f t="shared" si="54"/>
        <v>Terlampir Pada LHE ZI</v>
      </c>
    </row>
    <row r="542" spans="1:15" x14ac:dyDescent="0.25">
      <c r="A542" s="35"/>
      <c r="B542" s="35" t="s">
        <v>296</v>
      </c>
      <c r="C542" s="35" t="s">
        <v>306</v>
      </c>
      <c r="D542" s="36">
        <v>20</v>
      </c>
      <c r="E542" s="36">
        <v>6</v>
      </c>
      <c r="F542" s="36">
        <v>65</v>
      </c>
      <c r="G542" s="36">
        <v>4</v>
      </c>
      <c r="H542" s="36">
        <v>49</v>
      </c>
      <c r="I542" s="36">
        <v>18</v>
      </c>
      <c r="J542" s="37">
        <f t="shared" si="50"/>
        <v>134</v>
      </c>
      <c r="K542" s="37">
        <f t="shared" si="51"/>
        <v>28</v>
      </c>
      <c r="L542" s="38">
        <f t="shared" si="55"/>
        <v>0.20895522388059701</v>
      </c>
      <c r="M542" s="39" t="str">
        <f t="shared" si="52"/>
        <v>1</v>
      </c>
      <c r="N542" s="35" t="str">
        <f t="shared" si="53"/>
        <v>Sangat Baik</v>
      </c>
      <c r="O542" s="35" t="str">
        <f t="shared" si="54"/>
        <v>Terlampir Pada LHE ZI</v>
      </c>
    </row>
    <row r="543" spans="1:15" x14ac:dyDescent="0.25">
      <c r="A543" s="35"/>
      <c r="B543" s="35" t="s">
        <v>230</v>
      </c>
      <c r="C543" s="35" t="s">
        <v>306</v>
      </c>
      <c r="D543" s="36">
        <v>4</v>
      </c>
      <c r="E543" s="36">
        <v>2</v>
      </c>
      <c r="F543" s="36">
        <v>1</v>
      </c>
      <c r="G543" s="36">
        <v>0</v>
      </c>
      <c r="H543" s="36">
        <v>4</v>
      </c>
      <c r="I543" s="36">
        <v>2</v>
      </c>
      <c r="J543" s="37">
        <f t="shared" si="50"/>
        <v>9</v>
      </c>
      <c r="K543" s="37">
        <f t="shared" si="51"/>
        <v>4</v>
      </c>
      <c r="L543" s="38">
        <f t="shared" si="55"/>
        <v>0.44444444444444442</v>
      </c>
      <c r="M543" s="39" t="str">
        <f t="shared" si="52"/>
        <v>2</v>
      </c>
      <c r="N543" s="35" t="str">
        <f t="shared" si="53"/>
        <v>Memuaskan</v>
      </c>
      <c r="O543" s="35" t="str">
        <f t="shared" si="54"/>
        <v>Terlampir Pada LHE ZI</v>
      </c>
    </row>
    <row r="544" spans="1:15" x14ac:dyDescent="0.25">
      <c r="A544" s="35"/>
      <c r="B544" s="35" t="s">
        <v>669</v>
      </c>
      <c r="C544" s="35" t="s">
        <v>306</v>
      </c>
      <c r="D544" s="36">
        <v>0</v>
      </c>
      <c r="E544" s="36">
        <v>0</v>
      </c>
      <c r="F544" s="36">
        <v>0</v>
      </c>
      <c r="G544" s="36">
        <v>0</v>
      </c>
      <c r="H544" s="36">
        <v>0</v>
      </c>
      <c r="I544" s="36">
        <v>0</v>
      </c>
      <c r="J544" s="37">
        <f t="shared" si="50"/>
        <v>0</v>
      </c>
      <c r="K544" s="37">
        <f t="shared" si="51"/>
        <v>0</v>
      </c>
      <c r="L544" s="38" t="e">
        <v>#DIV/0!</v>
      </c>
      <c r="M544" s="39">
        <v>0</v>
      </c>
      <c r="N544" s="35" t="str">
        <f t="shared" si="53"/>
        <v>Kurang</v>
      </c>
      <c r="O544" s="35" t="str">
        <f t="shared" si="54"/>
        <v>Isi Rekomendasi</v>
      </c>
    </row>
    <row r="545" spans="1:15" x14ac:dyDescent="0.25">
      <c r="A545" s="35"/>
      <c r="B545" s="35" t="s">
        <v>231</v>
      </c>
      <c r="C545" s="35" t="s">
        <v>306</v>
      </c>
      <c r="D545" s="36">
        <v>10</v>
      </c>
      <c r="E545" s="36">
        <v>0</v>
      </c>
      <c r="F545" s="36">
        <v>5</v>
      </c>
      <c r="G545" s="36">
        <v>1</v>
      </c>
      <c r="H545" s="36">
        <v>6</v>
      </c>
      <c r="I545" s="36">
        <v>0</v>
      </c>
      <c r="J545" s="37">
        <f t="shared" si="50"/>
        <v>21</v>
      </c>
      <c r="K545" s="37">
        <f t="shared" si="51"/>
        <v>1</v>
      </c>
      <c r="L545" s="38">
        <f>K545/J545</f>
        <v>4.7619047619047616E-2</v>
      </c>
      <c r="M545" s="39" t="str">
        <f t="shared" si="52"/>
        <v>0,75</v>
      </c>
      <c r="N545" s="35" t="str">
        <f t="shared" si="53"/>
        <v>Baik</v>
      </c>
      <c r="O545" s="35" t="str">
        <f t="shared" si="54"/>
        <v>Terlampir Pada LHE ZI</v>
      </c>
    </row>
    <row r="546" spans="1:15" x14ac:dyDescent="0.25">
      <c r="A546" s="35"/>
      <c r="B546" s="35" t="s">
        <v>670</v>
      </c>
      <c r="C546" s="35" t="s">
        <v>306</v>
      </c>
      <c r="D546" s="36">
        <v>0</v>
      </c>
      <c r="E546" s="36">
        <v>0</v>
      </c>
      <c r="F546" s="36">
        <v>0</v>
      </c>
      <c r="G546" s="36">
        <v>0</v>
      </c>
      <c r="H546" s="36">
        <v>0</v>
      </c>
      <c r="I546" s="36">
        <v>0</v>
      </c>
      <c r="J546" s="37">
        <f t="shared" si="50"/>
        <v>0</v>
      </c>
      <c r="K546" s="37">
        <f t="shared" si="51"/>
        <v>0</v>
      </c>
      <c r="L546" s="38" t="e">
        <v>#DIV/0!</v>
      </c>
      <c r="M546" s="39">
        <v>0</v>
      </c>
      <c r="N546" s="35" t="str">
        <f t="shared" si="53"/>
        <v>Kurang</v>
      </c>
      <c r="O546" s="35" t="str">
        <f t="shared" si="54"/>
        <v>Isi Rekomendasi</v>
      </c>
    </row>
    <row r="547" spans="1:15" x14ac:dyDescent="0.25">
      <c r="A547" s="35"/>
      <c r="B547" s="35" t="s">
        <v>232</v>
      </c>
      <c r="C547" s="35" t="s">
        <v>306</v>
      </c>
      <c r="D547" s="36">
        <v>7</v>
      </c>
      <c r="E547" s="36">
        <v>1</v>
      </c>
      <c r="F547" s="36">
        <v>14</v>
      </c>
      <c r="G547" s="36">
        <v>0</v>
      </c>
      <c r="H547" s="36">
        <v>12</v>
      </c>
      <c r="I547" s="36">
        <v>2</v>
      </c>
      <c r="J547" s="37">
        <f t="shared" si="50"/>
        <v>33</v>
      </c>
      <c r="K547" s="37">
        <f t="shared" si="51"/>
        <v>3</v>
      </c>
      <c r="L547" s="38">
        <f>K547/J547</f>
        <v>9.0909090909090912E-2</v>
      </c>
      <c r="M547" s="39" t="str">
        <f t="shared" si="52"/>
        <v>0,75</v>
      </c>
      <c r="N547" s="35" t="str">
        <f t="shared" si="53"/>
        <v>Baik</v>
      </c>
      <c r="O547" s="35" t="str">
        <f t="shared" si="54"/>
        <v>Terlampir Pada LHE ZI</v>
      </c>
    </row>
    <row r="548" spans="1:15" x14ac:dyDescent="0.25">
      <c r="A548" s="35"/>
      <c r="B548" s="35" t="s">
        <v>233</v>
      </c>
      <c r="C548" s="35" t="s">
        <v>306</v>
      </c>
      <c r="D548" s="36">
        <v>8</v>
      </c>
      <c r="E548" s="36">
        <v>0</v>
      </c>
      <c r="F548" s="36">
        <v>9</v>
      </c>
      <c r="G548" s="36">
        <v>2</v>
      </c>
      <c r="H548" s="36">
        <v>3</v>
      </c>
      <c r="I548" s="36">
        <v>1</v>
      </c>
      <c r="J548" s="37">
        <f t="shared" si="50"/>
        <v>20</v>
      </c>
      <c r="K548" s="37">
        <f t="shared" si="51"/>
        <v>3</v>
      </c>
      <c r="L548" s="38">
        <f>K548/J548</f>
        <v>0.15</v>
      </c>
      <c r="M548" s="39" t="str">
        <f t="shared" si="52"/>
        <v>1</v>
      </c>
      <c r="N548" s="35" t="str">
        <f t="shared" si="53"/>
        <v>Sangat Baik</v>
      </c>
      <c r="O548" s="35" t="str">
        <f t="shared" si="54"/>
        <v>Terlampir Pada LHE ZI</v>
      </c>
    </row>
    <row r="549" spans="1:15" x14ac:dyDescent="0.25">
      <c r="A549" s="35"/>
      <c r="B549" s="35" t="s">
        <v>671</v>
      </c>
      <c r="C549" s="35" t="s">
        <v>306</v>
      </c>
      <c r="D549" s="36">
        <v>0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7">
        <f t="shared" si="50"/>
        <v>0</v>
      </c>
      <c r="K549" s="37">
        <f t="shared" si="51"/>
        <v>0</v>
      </c>
      <c r="L549" s="38" t="e">
        <v>#DIV/0!</v>
      </c>
      <c r="M549" s="39">
        <v>0</v>
      </c>
      <c r="N549" s="35" t="str">
        <f t="shared" si="53"/>
        <v>Kurang</v>
      </c>
      <c r="O549" s="35" t="str">
        <f t="shared" si="54"/>
        <v>Isi Rekomendasi</v>
      </c>
    </row>
    <row r="550" spans="1:15" x14ac:dyDescent="0.25">
      <c r="A550" s="35"/>
      <c r="B550" s="35" t="s">
        <v>234</v>
      </c>
      <c r="C550" s="35" t="s">
        <v>306</v>
      </c>
      <c r="D550" s="36">
        <v>6</v>
      </c>
      <c r="E550" s="36">
        <v>2</v>
      </c>
      <c r="F550" s="36">
        <v>3</v>
      </c>
      <c r="G550" s="36">
        <v>0</v>
      </c>
      <c r="H550" s="36">
        <v>3</v>
      </c>
      <c r="I550" s="36">
        <v>1</v>
      </c>
      <c r="J550" s="37">
        <f t="shared" si="50"/>
        <v>12</v>
      </c>
      <c r="K550" s="37">
        <f t="shared" si="51"/>
        <v>3</v>
      </c>
      <c r="L550" s="38">
        <f t="shared" ref="L550:L559" si="56">K550/J550</f>
        <v>0.25</v>
      </c>
      <c r="M550" s="39" t="str">
        <f t="shared" si="52"/>
        <v>1</v>
      </c>
      <c r="N550" s="35" t="str">
        <f t="shared" si="53"/>
        <v>Sangat Baik</v>
      </c>
      <c r="O550" s="35" t="str">
        <f t="shared" si="54"/>
        <v>Terlampir Pada LHE ZI</v>
      </c>
    </row>
    <row r="551" spans="1:15" x14ac:dyDescent="0.25">
      <c r="A551" s="35"/>
      <c r="B551" s="35" t="s">
        <v>235</v>
      </c>
      <c r="C551" s="35" t="s">
        <v>306</v>
      </c>
      <c r="D551" s="36">
        <v>10</v>
      </c>
      <c r="E551" s="36">
        <v>1</v>
      </c>
      <c r="F551" s="36">
        <v>11</v>
      </c>
      <c r="G551" s="36">
        <v>3</v>
      </c>
      <c r="H551" s="36">
        <v>15</v>
      </c>
      <c r="I551" s="36">
        <v>4</v>
      </c>
      <c r="J551" s="37">
        <f t="shared" si="50"/>
        <v>36</v>
      </c>
      <c r="K551" s="37">
        <f t="shared" si="51"/>
        <v>8</v>
      </c>
      <c r="L551" s="38">
        <f t="shared" si="56"/>
        <v>0.22222222222222221</v>
      </c>
      <c r="M551" s="39" t="str">
        <f t="shared" si="52"/>
        <v>1</v>
      </c>
      <c r="N551" s="35" t="str">
        <f t="shared" si="53"/>
        <v>Sangat Baik</v>
      </c>
      <c r="O551" s="35" t="str">
        <f t="shared" si="54"/>
        <v>Terlampir Pada LHE ZI</v>
      </c>
    </row>
    <row r="552" spans="1:15" x14ac:dyDescent="0.25">
      <c r="A552" s="35"/>
      <c r="B552" s="35" t="s">
        <v>295</v>
      </c>
      <c r="C552" s="35" t="s">
        <v>306</v>
      </c>
      <c r="D552" s="36">
        <v>30</v>
      </c>
      <c r="E552" s="36">
        <v>6</v>
      </c>
      <c r="F552" s="36">
        <v>13</v>
      </c>
      <c r="G552" s="36">
        <v>1</v>
      </c>
      <c r="H552" s="36">
        <v>259</v>
      </c>
      <c r="I552" s="36">
        <v>12</v>
      </c>
      <c r="J552" s="37">
        <f t="shared" si="50"/>
        <v>302</v>
      </c>
      <c r="K552" s="37">
        <f t="shared" si="51"/>
        <v>19</v>
      </c>
      <c r="L552" s="38">
        <f t="shared" si="56"/>
        <v>6.2913907284768214E-2</v>
      </c>
      <c r="M552" s="39" t="str">
        <f t="shared" si="52"/>
        <v>0,75</v>
      </c>
      <c r="N552" s="35" t="str">
        <f t="shared" si="53"/>
        <v>Baik</v>
      </c>
      <c r="O552" s="35" t="str">
        <f t="shared" si="54"/>
        <v>Terlampir Pada LHE ZI</v>
      </c>
    </row>
    <row r="553" spans="1:15" x14ac:dyDescent="0.25">
      <c r="A553" s="35"/>
      <c r="B553" s="35" t="s">
        <v>237</v>
      </c>
      <c r="C553" s="35" t="s">
        <v>306</v>
      </c>
      <c r="D553" s="36">
        <v>6</v>
      </c>
      <c r="E553" s="36">
        <v>1</v>
      </c>
      <c r="F553" s="36">
        <v>4</v>
      </c>
      <c r="G553" s="36">
        <v>1</v>
      </c>
      <c r="H553" s="36">
        <v>2</v>
      </c>
      <c r="I553" s="36">
        <v>1</v>
      </c>
      <c r="J553" s="37">
        <f t="shared" si="50"/>
        <v>12</v>
      </c>
      <c r="K553" s="37">
        <f t="shared" si="51"/>
        <v>3</v>
      </c>
      <c r="L553" s="38">
        <f t="shared" si="56"/>
        <v>0.25</v>
      </c>
      <c r="M553" s="39" t="str">
        <f t="shared" si="52"/>
        <v>1</v>
      </c>
      <c r="N553" s="35" t="str">
        <f t="shared" si="53"/>
        <v>Sangat Baik</v>
      </c>
      <c r="O553" s="35" t="str">
        <f t="shared" si="54"/>
        <v>Terlampir Pada LHE ZI</v>
      </c>
    </row>
    <row r="554" spans="1:15" x14ac:dyDescent="0.25">
      <c r="A554" s="35"/>
      <c r="B554" s="35" t="s">
        <v>238</v>
      </c>
      <c r="C554" s="35" t="s">
        <v>306</v>
      </c>
      <c r="D554" s="36">
        <v>4</v>
      </c>
      <c r="E554" s="36">
        <v>0</v>
      </c>
      <c r="F554" s="36">
        <v>2</v>
      </c>
      <c r="G554" s="36">
        <v>0</v>
      </c>
      <c r="H554" s="36">
        <v>5</v>
      </c>
      <c r="I554" s="36">
        <v>0</v>
      </c>
      <c r="J554" s="37">
        <f t="shared" si="50"/>
        <v>11</v>
      </c>
      <c r="K554" s="37">
        <f t="shared" si="51"/>
        <v>0</v>
      </c>
      <c r="L554" s="38">
        <f t="shared" si="56"/>
        <v>0</v>
      </c>
      <c r="M554" s="39" t="str">
        <f t="shared" si="52"/>
        <v>0,5</v>
      </c>
      <c r="N554" s="35" t="str">
        <f t="shared" si="53"/>
        <v>Cukup</v>
      </c>
      <c r="O554" s="35" t="str">
        <f t="shared" si="54"/>
        <v>Terlampir Pada LHE ZI</v>
      </c>
    </row>
    <row r="555" spans="1:15" x14ac:dyDescent="0.25">
      <c r="A555" s="35"/>
      <c r="B555" s="35" t="s">
        <v>293</v>
      </c>
      <c r="C555" s="35" t="s">
        <v>306</v>
      </c>
      <c r="D555" s="36">
        <v>25</v>
      </c>
      <c r="E555" s="36">
        <v>1</v>
      </c>
      <c r="F555" s="36">
        <v>8</v>
      </c>
      <c r="G555" s="36">
        <v>0</v>
      </c>
      <c r="H555" s="36">
        <v>81</v>
      </c>
      <c r="I555" s="36">
        <v>7</v>
      </c>
      <c r="J555" s="37">
        <f t="shared" si="50"/>
        <v>114</v>
      </c>
      <c r="K555" s="37">
        <f>E555+G555+I555</f>
        <v>8</v>
      </c>
      <c r="L555" s="38">
        <f t="shared" si="56"/>
        <v>7.0175438596491224E-2</v>
      </c>
      <c r="M555" s="39" t="str">
        <f>IF(AND(C555="KL",L555&gt;75%),"3",IF(AND(C555="KL",L555&gt;40%),"2",IF(AND(C555="KL",L555&gt;10%),"1",IF(AND(C555="KL",L555&gt;0.1%),"0,75",IF(AND(C555="KL",L555&gt;=0%),"0,5",IF(AND(C555="Pemda",L555&gt;75%),"3,5",IF(AND(C555="Pemda",L555&gt;40%),"2,5",IF(AND(C555="Pemda",L555&gt;10%),"1,5",IF(AND(C555="Pemda",L555&gt;0.1%),"0,75",IF(AND(C555="Pemda",L555&gt;=0%),"0,5","0"))))))))))</f>
        <v>0,75</v>
      </c>
      <c r="N555" s="35" t="str">
        <f t="shared" si="53"/>
        <v>Baik</v>
      </c>
      <c r="O555" s="35" t="str">
        <f t="shared" si="54"/>
        <v>Terlampir Pada LHE ZI</v>
      </c>
    </row>
    <row r="556" spans="1:15" x14ac:dyDescent="0.25">
      <c r="A556" s="35"/>
      <c r="B556" s="35" t="s">
        <v>294</v>
      </c>
      <c r="C556" s="35" t="s">
        <v>306</v>
      </c>
      <c r="D556" s="36">
        <v>113</v>
      </c>
      <c r="E556" s="36">
        <v>3</v>
      </c>
      <c r="F556" s="36">
        <v>5</v>
      </c>
      <c r="G556" s="36">
        <v>1</v>
      </c>
      <c r="H556" s="36">
        <v>51</v>
      </c>
      <c r="I556" s="36">
        <v>12</v>
      </c>
      <c r="J556" s="37">
        <f t="shared" si="50"/>
        <v>169</v>
      </c>
      <c r="K556" s="37">
        <f t="shared" si="51"/>
        <v>16</v>
      </c>
      <c r="L556" s="38">
        <f t="shared" si="56"/>
        <v>9.4674556213017749E-2</v>
      </c>
      <c r="M556" s="39" t="str">
        <f t="shared" si="52"/>
        <v>0,75</v>
      </c>
      <c r="N556" s="35" t="str">
        <f t="shared" si="53"/>
        <v>Baik</v>
      </c>
      <c r="O556" s="35" t="str">
        <f t="shared" si="54"/>
        <v>Terlampir Pada LHE ZI</v>
      </c>
    </row>
    <row r="557" spans="1:15" x14ac:dyDescent="0.25">
      <c r="A557" s="35"/>
      <c r="B557" s="35" t="s">
        <v>241</v>
      </c>
      <c r="C557" s="35" t="s">
        <v>306</v>
      </c>
      <c r="D557" s="36">
        <v>2</v>
      </c>
      <c r="E557" s="36">
        <v>0</v>
      </c>
      <c r="F557" s="36">
        <v>0</v>
      </c>
      <c r="G557" s="36">
        <v>0</v>
      </c>
      <c r="H557" s="36">
        <v>2</v>
      </c>
      <c r="I557" s="36">
        <v>0</v>
      </c>
      <c r="J557" s="37">
        <f t="shared" si="50"/>
        <v>4</v>
      </c>
      <c r="K557" s="37">
        <f t="shared" si="51"/>
        <v>0</v>
      </c>
      <c r="L557" s="38">
        <f t="shared" si="56"/>
        <v>0</v>
      </c>
      <c r="M557" s="39" t="str">
        <f t="shared" si="52"/>
        <v>0,5</v>
      </c>
      <c r="N557" s="35" t="str">
        <f t="shared" si="53"/>
        <v>Cukup</v>
      </c>
      <c r="O557" s="35" t="str">
        <f t="shared" si="54"/>
        <v>Terlampir Pada LHE ZI</v>
      </c>
    </row>
    <row r="558" spans="1:15" x14ac:dyDescent="0.25">
      <c r="A558" s="35"/>
      <c r="B558" s="35" t="s">
        <v>242</v>
      </c>
      <c r="C558" s="35" t="s">
        <v>306</v>
      </c>
      <c r="D558" s="36">
        <v>0</v>
      </c>
      <c r="E558" s="36">
        <v>0</v>
      </c>
      <c r="F558" s="36">
        <v>0</v>
      </c>
      <c r="G558" s="36">
        <v>0</v>
      </c>
      <c r="H558" s="36">
        <v>3</v>
      </c>
      <c r="I558" s="36">
        <v>1</v>
      </c>
      <c r="J558" s="37">
        <f t="shared" si="50"/>
        <v>3</v>
      </c>
      <c r="K558" s="37">
        <f t="shared" si="51"/>
        <v>1</v>
      </c>
      <c r="L558" s="38">
        <f t="shared" si="56"/>
        <v>0.33333333333333331</v>
      </c>
      <c r="M558" s="39" t="str">
        <f t="shared" si="52"/>
        <v>1</v>
      </c>
      <c r="N558" s="35" t="str">
        <f t="shared" si="53"/>
        <v>Sangat Baik</v>
      </c>
      <c r="O558" s="35" t="str">
        <f t="shared" si="54"/>
        <v>Terlampir Pada LHE ZI</v>
      </c>
    </row>
    <row r="559" spans="1:15" x14ac:dyDescent="0.25">
      <c r="A559" s="35"/>
      <c r="B559" s="35" t="s">
        <v>243</v>
      </c>
      <c r="C559" s="35" t="s">
        <v>306</v>
      </c>
      <c r="D559" s="36">
        <v>20</v>
      </c>
      <c r="E559" s="36">
        <v>1</v>
      </c>
      <c r="F559" s="36">
        <v>17</v>
      </c>
      <c r="G559" s="36">
        <v>2</v>
      </c>
      <c r="H559" s="36">
        <v>14</v>
      </c>
      <c r="I559" s="36">
        <v>3</v>
      </c>
      <c r="J559" s="37">
        <f t="shared" si="50"/>
        <v>51</v>
      </c>
      <c r="K559" s="37">
        <f t="shared" si="51"/>
        <v>6</v>
      </c>
      <c r="L559" s="38">
        <f t="shared" si="56"/>
        <v>0.11764705882352941</v>
      </c>
      <c r="M559" s="39" t="str">
        <f t="shared" si="52"/>
        <v>1</v>
      </c>
      <c r="N559" s="35" t="str">
        <f t="shared" si="53"/>
        <v>Sangat Baik</v>
      </c>
      <c r="O559" s="35" t="str">
        <f t="shared" si="54"/>
        <v>Terlampir Pada LHE ZI</v>
      </c>
    </row>
    <row r="560" spans="1:15" x14ac:dyDescent="0.25">
      <c r="A560" s="35"/>
      <c r="B560" s="35" t="s">
        <v>332</v>
      </c>
      <c r="C560" s="35" t="s">
        <v>306</v>
      </c>
      <c r="D560" s="36">
        <v>0</v>
      </c>
      <c r="E560" s="36">
        <v>0</v>
      </c>
      <c r="F560" s="36">
        <v>0</v>
      </c>
      <c r="G560" s="36">
        <v>0</v>
      </c>
      <c r="H560" s="36">
        <v>0</v>
      </c>
      <c r="I560" s="36">
        <v>0</v>
      </c>
      <c r="J560" s="37">
        <f t="shared" si="50"/>
        <v>0</v>
      </c>
      <c r="K560" s="37">
        <f t="shared" si="51"/>
        <v>0</v>
      </c>
      <c r="L560" s="38" t="e">
        <v>#DIV/0!</v>
      </c>
      <c r="M560" s="39">
        <v>0</v>
      </c>
      <c r="N560" s="35" t="str">
        <f t="shared" si="53"/>
        <v>Kurang</v>
      </c>
      <c r="O560" s="35" t="str">
        <f t="shared" si="54"/>
        <v>Isi Rekomendasi</v>
      </c>
    </row>
    <row r="561" spans="1:15" x14ac:dyDescent="0.25">
      <c r="A561" s="35"/>
      <c r="B561" s="35" t="s">
        <v>672</v>
      </c>
      <c r="C561" s="35" t="s">
        <v>307</v>
      </c>
      <c r="D561" s="36">
        <v>0</v>
      </c>
      <c r="E561" s="36">
        <v>0</v>
      </c>
      <c r="F561" s="36">
        <v>0</v>
      </c>
      <c r="G561" s="36">
        <v>0</v>
      </c>
      <c r="H561" s="36">
        <v>0</v>
      </c>
      <c r="I561" s="36">
        <v>0</v>
      </c>
      <c r="J561" s="37">
        <f t="shared" si="50"/>
        <v>0</v>
      </c>
      <c r="K561" s="37">
        <f t="shared" si="51"/>
        <v>0</v>
      </c>
      <c r="L561" s="38" t="e">
        <v>#DIV/0!</v>
      </c>
      <c r="M561" s="39">
        <v>0</v>
      </c>
      <c r="N561" s="35" t="str">
        <f t="shared" si="53"/>
        <v>Kurang</v>
      </c>
      <c r="O561" s="35" t="str">
        <f t="shared" si="54"/>
        <v>Isi Rekomendasi</v>
      </c>
    </row>
    <row r="562" spans="1:15" x14ac:dyDescent="0.25">
      <c r="A562" s="35"/>
      <c r="B562" s="35" t="s">
        <v>244</v>
      </c>
      <c r="C562" s="35" t="s">
        <v>307</v>
      </c>
      <c r="D562" s="36">
        <v>4</v>
      </c>
      <c r="E562" s="36">
        <v>0</v>
      </c>
      <c r="F562" s="36">
        <v>7</v>
      </c>
      <c r="G562" s="36">
        <v>0</v>
      </c>
      <c r="H562" s="36">
        <v>4</v>
      </c>
      <c r="I562" s="36">
        <v>1</v>
      </c>
      <c r="J562" s="37">
        <f t="shared" si="50"/>
        <v>15</v>
      </c>
      <c r="K562" s="37">
        <f t="shared" si="51"/>
        <v>1</v>
      </c>
      <c r="L562" s="38">
        <f t="shared" ref="L562:L570" si="57">K562/J562</f>
        <v>6.6666666666666666E-2</v>
      </c>
      <c r="M562" s="39" t="str">
        <f t="shared" si="52"/>
        <v>0,75</v>
      </c>
      <c r="N562" s="35" t="str">
        <f t="shared" si="53"/>
        <v>Baik</v>
      </c>
      <c r="O562" s="35" t="str">
        <f t="shared" si="54"/>
        <v>Terlampir Pada LHE ZI</v>
      </c>
    </row>
    <row r="563" spans="1:15" x14ac:dyDescent="0.25">
      <c r="A563" s="35"/>
      <c r="B563" s="35" t="s">
        <v>245</v>
      </c>
      <c r="C563" s="35" t="s">
        <v>307</v>
      </c>
      <c r="D563" s="36">
        <v>4</v>
      </c>
      <c r="E563" s="36">
        <v>1</v>
      </c>
      <c r="F563" s="36">
        <v>11</v>
      </c>
      <c r="G563" s="36">
        <v>2</v>
      </c>
      <c r="H563" s="36">
        <v>12</v>
      </c>
      <c r="I563" s="36">
        <v>0</v>
      </c>
      <c r="J563" s="37">
        <f t="shared" si="50"/>
        <v>27</v>
      </c>
      <c r="K563" s="37">
        <f t="shared" si="51"/>
        <v>3</v>
      </c>
      <c r="L563" s="38">
        <f t="shared" si="57"/>
        <v>0.1111111111111111</v>
      </c>
      <c r="M563" s="39" t="str">
        <f t="shared" si="52"/>
        <v>1,5</v>
      </c>
      <c r="N563" s="35" t="str">
        <f t="shared" si="53"/>
        <v>Sangat Baik</v>
      </c>
      <c r="O563" s="35" t="str">
        <f t="shared" si="54"/>
        <v>Terlampir Pada LHE ZI</v>
      </c>
    </row>
    <row r="564" spans="1:15" x14ac:dyDescent="0.25">
      <c r="A564" s="35"/>
      <c r="B564" s="35" t="s">
        <v>246</v>
      </c>
      <c r="C564" s="35" t="s">
        <v>307</v>
      </c>
      <c r="D564" s="36">
        <v>5</v>
      </c>
      <c r="E564" s="36">
        <v>0</v>
      </c>
      <c r="F564" s="36">
        <v>0</v>
      </c>
      <c r="G564" s="36">
        <v>0</v>
      </c>
      <c r="H564" s="36">
        <v>5</v>
      </c>
      <c r="I564" s="36">
        <v>0</v>
      </c>
      <c r="J564" s="37">
        <f t="shared" si="50"/>
        <v>10</v>
      </c>
      <c r="K564" s="37">
        <f t="shared" si="51"/>
        <v>0</v>
      </c>
      <c r="L564" s="38">
        <f t="shared" si="57"/>
        <v>0</v>
      </c>
      <c r="M564" s="39" t="str">
        <f t="shared" si="52"/>
        <v>0,5</v>
      </c>
      <c r="N564" s="35" t="str">
        <f t="shared" si="53"/>
        <v>Cukup</v>
      </c>
      <c r="O564" s="35" t="str">
        <f t="shared" si="54"/>
        <v>Terlampir Pada LHE ZI</v>
      </c>
    </row>
    <row r="565" spans="1:15" x14ac:dyDescent="0.25">
      <c r="A565" s="35"/>
      <c r="B565" s="35" t="s">
        <v>247</v>
      </c>
      <c r="C565" s="35" t="s">
        <v>307</v>
      </c>
      <c r="D565" s="36">
        <v>4</v>
      </c>
      <c r="E565" s="36">
        <v>0</v>
      </c>
      <c r="F565" s="36">
        <v>6</v>
      </c>
      <c r="G565" s="36">
        <v>0</v>
      </c>
      <c r="H565" s="36">
        <v>3</v>
      </c>
      <c r="I565" s="36">
        <v>0</v>
      </c>
      <c r="J565" s="37">
        <f t="shared" si="50"/>
        <v>13</v>
      </c>
      <c r="K565" s="37">
        <f t="shared" si="51"/>
        <v>0</v>
      </c>
      <c r="L565" s="38">
        <f t="shared" si="57"/>
        <v>0</v>
      </c>
      <c r="M565" s="39" t="str">
        <f t="shared" si="52"/>
        <v>0,5</v>
      </c>
      <c r="N565" s="35" t="str">
        <f t="shared" si="53"/>
        <v>Cukup</v>
      </c>
      <c r="O565" s="35" t="str">
        <f t="shared" si="54"/>
        <v>Terlampir Pada LHE ZI</v>
      </c>
    </row>
    <row r="566" spans="1:15" x14ac:dyDescent="0.25">
      <c r="A566" s="35"/>
      <c r="B566" s="35" t="s">
        <v>248</v>
      </c>
      <c r="C566" s="35" t="s">
        <v>307</v>
      </c>
      <c r="D566" s="36">
        <v>0</v>
      </c>
      <c r="E566" s="36">
        <v>0</v>
      </c>
      <c r="F566" s="36">
        <v>2</v>
      </c>
      <c r="G566" s="36">
        <v>0</v>
      </c>
      <c r="H566" s="36">
        <v>4</v>
      </c>
      <c r="I566" s="36">
        <v>0</v>
      </c>
      <c r="J566" s="37">
        <f t="shared" si="50"/>
        <v>6</v>
      </c>
      <c r="K566" s="37">
        <f t="shared" si="51"/>
        <v>0</v>
      </c>
      <c r="L566" s="38">
        <f t="shared" si="57"/>
        <v>0</v>
      </c>
      <c r="M566" s="39" t="str">
        <f t="shared" si="52"/>
        <v>0,5</v>
      </c>
      <c r="N566" s="35" t="str">
        <f t="shared" si="53"/>
        <v>Cukup</v>
      </c>
      <c r="O566" s="35" t="str">
        <f t="shared" si="54"/>
        <v>Terlampir Pada LHE ZI</v>
      </c>
    </row>
    <row r="567" spans="1:15" x14ac:dyDescent="0.25">
      <c r="A567" s="35"/>
      <c r="B567" s="35" t="s">
        <v>249</v>
      </c>
      <c r="C567" s="35" t="s">
        <v>307</v>
      </c>
      <c r="D567" s="36">
        <v>0</v>
      </c>
      <c r="E567" s="36">
        <v>0</v>
      </c>
      <c r="F567" s="36">
        <v>1</v>
      </c>
      <c r="G567" s="36">
        <v>0</v>
      </c>
      <c r="H567" s="36">
        <v>2</v>
      </c>
      <c r="I567" s="36">
        <v>0</v>
      </c>
      <c r="J567" s="37">
        <f t="shared" si="50"/>
        <v>3</v>
      </c>
      <c r="K567" s="37">
        <f t="shared" si="51"/>
        <v>0</v>
      </c>
      <c r="L567" s="38">
        <f t="shared" si="57"/>
        <v>0</v>
      </c>
      <c r="M567" s="39" t="str">
        <f t="shared" si="52"/>
        <v>0,5</v>
      </c>
      <c r="N567" s="35" t="str">
        <f t="shared" si="53"/>
        <v>Cukup</v>
      </c>
      <c r="O567" s="35" t="str">
        <f t="shared" si="54"/>
        <v>Terlampir Pada LHE ZI</v>
      </c>
    </row>
    <row r="568" spans="1:15" x14ac:dyDescent="0.25">
      <c r="A568" s="35"/>
      <c r="B568" s="35" t="s">
        <v>250</v>
      </c>
      <c r="C568" s="35" t="s">
        <v>307</v>
      </c>
      <c r="D568" s="36">
        <v>4</v>
      </c>
      <c r="E568" s="36">
        <v>1</v>
      </c>
      <c r="F568" s="36">
        <v>6</v>
      </c>
      <c r="G568" s="36">
        <v>2</v>
      </c>
      <c r="H568" s="36">
        <v>6</v>
      </c>
      <c r="I568" s="36">
        <v>0</v>
      </c>
      <c r="J568" s="37">
        <f t="shared" si="50"/>
        <v>16</v>
      </c>
      <c r="K568" s="37">
        <f t="shared" si="51"/>
        <v>3</v>
      </c>
      <c r="L568" s="38">
        <f t="shared" si="57"/>
        <v>0.1875</v>
      </c>
      <c r="M568" s="39" t="str">
        <f t="shared" si="52"/>
        <v>1,5</v>
      </c>
      <c r="N568" s="35" t="str">
        <f t="shared" si="53"/>
        <v>Sangat Baik</v>
      </c>
      <c r="O568" s="35" t="str">
        <f t="shared" si="54"/>
        <v>Terlampir Pada LHE ZI</v>
      </c>
    </row>
    <row r="569" spans="1:15" x14ac:dyDescent="0.25">
      <c r="A569" s="35"/>
      <c r="B569" s="35" t="s">
        <v>251</v>
      </c>
      <c r="C569" s="35" t="s">
        <v>307</v>
      </c>
      <c r="D569" s="36">
        <v>0</v>
      </c>
      <c r="E569" s="36">
        <v>0</v>
      </c>
      <c r="F569" s="36">
        <v>0</v>
      </c>
      <c r="G569" s="36">
        <v>0</v>
      </c>
      <c r="H569" s="36">
        <v>4</v>
      </c>
      <c r="I569" s="36">
        <v>0</v>
      </c>
      <c r="J569" s="37">
        <f t="shared" si="50"/>
        <v>4</v>
      </c>
      <c r="K569" s="37">
        <f t="shared" si="51"/>
        <v>0</v>
      </c>
      <c r="L569" s="38">
        <f t="shared" si="57"/>
        <v>0</v>
      </c>
      <c r="M569" s="39" t="str">
        <f t="shared" si="52"/>
        <v>0,5</v>
      </c>
      <c r="N569" s="35" t="str">
        <f t="shared" si="53"/>
        <v>Cukup</v>
      </c>
      <c r="O569" s="35" t="str">
        <f t="shared" si="54"/>
        <v>Terlampir Pada LHE ZI</v>
      </c>
    </row>
    <row r="570" spans="1:15" x14ac:dyDescent="0.25">
      <c r="A570" s="35"/>
      <c r="B570" s="35" t="s">
        <v>252</v>
      </c>
      <c r="C570" s="35" t="s">
        <v>307</v>
      </c>
      <c r="D570" s="36">
        <v>4</v>
      </c>
      <c r="E570" s="36">
        <v>0</v>
      </c>
      <c r="F570" s="36">
        <v>4</v>
      </c>
      <c r="G570" s="36">
        <v>0</v>
      </c>
      <c r="H570" s="36">
        <v>2</v>
      </c>
      <c r="I570" s="36">
        <v>0</v>
      </c>
      <c r="J570" s="37">
        <f t="shared" si="50"/>
        <v>10</v>
      </c>
      <c r="K570" s="37">
        <f t="shared" si="51"/>
        <v>0</v>
      </c>
      <c r="L570" s="38">
        <f t="shared" si="57"/>
        <v>0</v>
      </c>
      <c r="M570" s="39" t="str">
        <f t="shared" si="52"/>
        <v>0,5</v>
      </c>
      <c r="N570" s="35" t="str">
        <f t="shared" si="53"/>
        <v>Cukup</v>
      </c>
      <c r="O570" s="35" t="str">
        <f t="shared" si="54"/>
        <v>Terlampir Pada LHE ZI</v>
      </c>
    </row>
    <row r="571" spans="1:15" x14ac:dyDescent="0.25">
      <c r="A571" s="35"/>
      <c r="B571" s="35" t="s">
        <v>673</v>
      </c>
      <c r="C571" s="35" t="s">
        <v>307</v>
      </c>
      <c r="D571" s="36">
        <v>0</v>
      </c>
      <c r="E571" s="36">
        <v>0</v>
      </c>
      <c r="F571" s="36">
        <v>0</v>
      </c>
      <c r="G571" s="36">
        <v>0</v>
      </c>
      <c r="H571" s="36">
        <v>0</v>
      </c>
      <c r="I571" s="36">
        <v>0</v>
      </c>
      <c r="J571" s="37">
        <f t="shared" si="50"/>
        <v>0</v>
      </c>
      <c r="K571" s="37">
        <f t="shared" si="51"/>
        <v>0</v>
      </c>
      <c r="L571" s="38" t="e">
        <v>#DIV/0!</v>
      </c>
      <c r="M571" s="39">
        <v>0</v>
      </c>
      <c r="N571" s="35" t="str">
        <f t="shared" si="53"/>
        <v>Kurang</v>
      </c>
      <c r="O571" s="35" t="str">
        <f t="shared" si="54"/>
        <v>Isi Rekomendasi</v>
      </c>
    </row>
    <row r="572" spans="1:15" x14ac:dyDescent="0.25">
      <c r="A572" s="35"/>
      <c r="B572" s="35" t="s">
        <v>674</v>
      </c>
      <c r="C572" s="35" t="s">
        <v>307</v>
      </c>
      <c r="D572" s="36">
        <v>0</v>
      </c>
      <c r="E572" s="36">
        <v>0</v>
      </c>
      <c r="F572" s="36">
        <v>0</v>
      </c>
      <c r="G572" s="36">
        <v>0</v>
      </c>
      <c r="H572" s="36">
        <v>0</v>
      </c>
      <c r="I572" s="36">
        <v>0</v>
      </c>
      <c r="J572" s="37">
        <f t="shared" si="50"/>
        <v>0</v>
      </c>
      <c r="K572" s="37">
        <f t="shared" si="51"/>
        <v>0</v>
      </c>
      <c r="L572" s="38" t="e">
        <v>#DIV/0!</v>
      </c>
      <c r="M572" s="39">
        <v>0</v>
      </c>
      <c r="N572" s="35" t="str">
        <f t="shared" si="53"/>
        <v>Kurang</v>
      </c>
      <c r="O572" s="35" t="str">
        <f t="shared" si="54"/>
        <v>Isi Rekomendasi</v>
      </c>
    </row>
    <row r="573" spans="1:15" x14ac:dyDescent="0.25">
      <c r="A573" s="35"/>
      <c r="B573" s="35" t="s">
        <v>253</v>
      </c>
      <c r="C573" s="35" t="s">
        <v>307</v>
      </c>
      <c r="D573" s="36">
        <v>4</v>
      </c>
      <c r="E573" s="36">
        <v>0</v>
      </c>
      <c r="F573" s="36">
        <v>5</v>
      </c>
      <c r="G573" s="36">
        <v>0</v>
      </c>
      <c r="H573" s="36">
        <v>5</v>
      </c>
      <c r="I573" s="36">
        <v>1</v>
      </c>
      <c r="J573" s="37">
        <f t="shared" si="50"/>
        <v>14</v>
      </c>
      <c r="K573" s="37">
        <f t="shared" si="51"/>
        <v>1</v>
      </c>
      <c r="L573" s="38">
        <f>K573/J573</f>
        <v>7.1428571428571425E-2</v>
      </c>
      <c r="M573" s="39" t="str">
        <f t="shared" si="52"/>
        <v>0,75</v>
      </c>
      <c r="N573" s="35" t="str">
        <f t="shared" si="53"/>
        <v>Baik</v>
      </c>
      <c r="O573" s="35" t="str">
        <f t="shared" si="54"/>
        <v>Terlampir Pada LHE ZI</v>
      </c>
    </row>
    <row r="574" spans="1:15" x14ac:dyDescent="0.25">
      <c r="A574" s="35"/>
      <c r="B574" s="35" t="s">
        <v>404</v>
      </c>
      <c r="C574" s="35" t="s">
        <v>307</v>
      </c>
      <c r="D574" s="36">
        <v>0</v>
      </c>
      <c r="E574" s="36">
        <v>0</v>
      </c>
      <c r="F574" s="36">
        <v>4</v>
      </c>
      <c r="G574" s="36">
        <v>0</v>
      </c>
      <c r="H574" s="36">
        <v>0</v>
      </c>
      <c r="I574" s="36">
        <v>0</v>
      </c>
      <c r="J574" s="37">
        <f t="shared" si="50"/>
        <v>4</v>
      </c>
      <c r="K574" s="37">
        <f t="shared" si="51"/>
        <v>0</v>
      </c>
      <c r="L574" s="38">
        <f>K574/J574</f>
        <v>0</v>
      </c>
      <c r="M574" s="39" t="str">
        <f t="shared" si="52"/>
        <v>0,5</v>
      </c>
      <c r="N574" s="35" t="str">
        <f t="shared" si="53"/>
        <v>Cukup</v>
      </c>
      <c r="O574" s="35" t="str">
        <f t="shared" si="54"/>
        <v>Terlampir Pada LHE ZI</v>
      </c>
    </row>
    <row r="575" spans="1:15" x14ac:dyDescent="0.25">
      <c r="A575" s="35"/>
      <c r="B575" s="35" t="s">
        <v>675</v>
      </c>
      <c r="C575" s="35" t="s">
        <v>307</v>
      </c>
      <c r="D575" s="36">
        <v>0</v>
      </c>
      <c r="E575" s="36">
        <v>0</v>
      </c>
      <c r="F575" s="36">
        <v>0</v>
      </c>
      <c r="G575" s="36">
        <v>0</v>
      </c>
      <c r="H575" s="36">
        <v>0</v>
      </c>
      <c r="I575" s="36">
        <v>0</v>
      </c>
      <c r="J575" s="37">
        <f t="shared" si="50"/>
        <v>0</v>
      </c>
      <c r="K575" s="37">
        <f t="shared" si="51"/>
        <v>0</v>
      </c>
      <c r="L575" s="38" t="e">
        <v>#DIV/0!</v>
      </c>
      <c r="M575" s="39">
        <v>0</v>
      </c>
      <c r="N575" s="35" t="str">
        <f t="shared" si="53"/>
        <v>Kurang</v>
      </c>
      <c r="O575" s="35" t="str">
        <f t="shared" si="54"/>
        <v>Isi Rekomendasi</v>
      </c>
    </row>
    <row r="576" spans="1:15" x14ac:dyDescent="0.25">
      <c r="A576" s="35"/>
      <c r="B576" s="35" t="s">
        <v>254</v>
      </c>
      <c r="C576" s="35" t="s">
        <v>307</v>
      </c>
      <c r="D576" s="36">
        <v>0</v>
      </c>
      <c r="E576" s="36">
        <v>0</v>
      </c>
      <c r="F576" s="36">
        <v>0</v>
      </c>
      <c r="G576" s="36">
        <v>0</v>
      </c>
      <c r="H576" s="36">
        <v>3</v>
      </c>
      <c r="I576" s="36">
        <v>1</v>
      </c>
      <c r="J576" s="37">
        <f t="shared" si="50"/>
        <v>3</v>
      </c>
      <c r="K576" s="37">
        <f t="shared" si="51"/>
        <v>1</v>
      </c>
      <c r="L576" s="38">
        <f>K576/J576</f>
        <v>0.33333333333333331</v>
      </c>
      <c r="M576" s="39" t="str">
        <f t="shared" si="52"/>
        <v>1,5</v>
      </c>
      <c r="N576" s="35" t="str">
        <f t="shared" si="53"/>
        <v>Sangat Baik</v>
      </c>
      <c r="O576" s="35" t="str">
        <f t="shared" si="54"/>
        <v>Terlampir Pada LHE ZI</v>
      </c>
    </row>
    <row r="577" spans="1:15" x14ac:dyDescent="0.25">
      <c r="A577" s="35"/>
      <c r="B577" s="35" t="s">
        <v>676</v>
      </c>
      <c r="C577" s="35" t="s">
        <v>307</v>
      </c>
      <c r="D577" s="36">
        <v>0</v>
      </c>
      <c r="E577" s="36">
        <v>0</v>
      </c>
      <c r="F577" s="36">
        <v>0</v>
      </c>
      <c r="G577" s="36">
        <v>0</v>
      </c>
      <c r="H577" s="36">
        <v>0</v>
      </c>
      <c r="I577" s="36">
        <v>0</v>
      </c>
      <c r="J577" s="37">
        <f t="shared" si="50"/>
        <v>0</v>
      </c>
      <c r="K577" s="37">
        <f t="shared" si="51"/>
        <v>0</v>
      </c>
      <c r="L577" s="38" t="e">
        <v>#DIV/0!</v>
      </c>
      <c r="M577" s="39">
        <v>0</v>
      </c>
      <c r="N577" s="35" t="str">
        <f t="shared" si="53"/>
        <v>Kurang</v>
      </c>
      <c r="O577" s="35" t="str">
        <f t="shared" si="54"/>
        <v>Isi Rekomendasi</v>
      </c>
    </row>
    <row r="578" spans="1:15" x14ac:dyDescent="0.25">
      <c r="A578" s="35"/>
      <c r="B578" s="35" t="s">
        <v>255</v>
      </c>
      <c r="C578" s="35" t="s">
        <v>307</v>
      </c>
      <c r="D578" s="36">
        <v>4</v>
      </c>
      <c r="E578" s="36">
        <v>0</v>
      </c>
      <c r="F578" s="36">
        <v>4</v>
      </c>
      <c r="G578" s="36">
        <v>0</v>
      </c>
      <c r="H578" s="36">
        <v>4</v>
      </c>
      <c r="I578" s="36">
        <v>1</v>
      </c>
      <c r="J578" s="37">
        <f t="shared" si="50"/>
        <v>12</v>
      </c>
      <c r="K578" s="37">
        <f t="shared" si="51"/>
        <v>1</v>
      </c>
      <c r="L578" s="38">
        <f t="shared" ref="L578:L585" si="58">K578/J578</f>
        <v>8.3333333333333329E-2</v>
      </c>
      <c r="M578" s="39" t="str">
        <f t="shared" si="52"/>
        <v>0,75</v>
      </c>
      <c r="N578" s="35" t="str">
        <f t="shared" si="53"/>
        <v>Baik</v>
      </c>
      <c r="O578" s="35" t="str">
        <f t="shared" si="54"/>
        <v>Terlampir Pada LHE ZI</v>
      </c>
    </row>
    <row r="579" spans="1:15" x14ac:dyDescent="0.25">
      <c r="A579" s="35"/>
      <c r="B579" s="35" t="s">
        <v>256</v>
      </c>
      <c r="C579" s="35" t="s">
        <v>307</v>
      </c>
      <c r="D579" s="36">
        <v>4</v>
      </c>
      <c r="E579" s="36">
        <v>0</v>
      </c>
      <c r="F579" s="36">
        <v>0</v>
      </c>
      <c r="G579" s="36">
        <v>0</v>
      </c>
      <c r="H579" s="36">
        <v>2</v>
      </c>
      <c r="I579" s="36">
        <v>0</v>
      </c>
      <c r="J579" s="37">
        <f t="shared" si="50"/>
        <v>6</v>
      </c>
      <c r="K579" s="37">
        <f t="shared" si="51"/>
        <v>0</v>
      </c>
      <c r="L579" s="38">
        <f t="shared" si="58"/>
        <v>0</v>
      </c>
      <c r="M579" s="39" t="str">
        <f t="shared" si="52"/>
        <v>0,5</v>
      </c>
      <c r="N579" s="35" t="str">
        <f t="shared" si="53"/>
        <v>Cukup</v>
      </c>
      <c r="O579" s="35" t="str">
        <f t="shared" si="54"/>
        <v>Terlampir Pada LHE ZI</v>
      </c>
    </row>
    <row r="580" spans="1:15" x14ac:dyDescent="0.25">
      <c r="A580" s="35"/>
      <c r="B580" s="35" t="s">
        <v>257</v>
      </c>
      <c r="C580" s="35" t="s">
        <v>307</v>
      </c>
      <c r="D580" s="36">
        <v>0</v>
      </c>
      <c r="E580" s="36">
        <v>0</v>
      </c>
      <c r="F580" s="36">
        <v>2</v>
      </c>
      <c r="G580" s="36">
        <v>0</v>
      </c>
      <c r="H580" s="36">
        <v>2</v>
      </c>
      <c r="I580" s="36">
        <v>0</v>
      </c>
      <c r="J580" s="37">
        <f t="shared" ref="J580:J643" si="59">D580+F580+H580</f>
        <v>4</v>
      </c>
      <c r="K580" s="37">
        <f t="shared" ref="K580:K643" si="60">E580+G580+I580</f>
        <v>0</v>
      </c>
      <c r="L580" s="38">
        <f t="shared" si="58"/>
        <v>0</v>
      </c>
      <c r="M580" s="39" t="str">
        <f t="shared" ref="M580:M636" si="61">IF(AND(C580="KL",L580&gt;75%),"3",IF(AND(C580="KL",L580&gt;40%),"2",IF(AND(C580="KL",L580&gt;10%),"1",IF(AND(C580="KL",L580&gt;0.1%),"0,75",IF(AND(C580="KL",L580&gt;=0%),"0,5",IF(AND(C580="Pemda",L580&gt;75%),"3,5",IF(AND(C580="Pemda",L580&gt;40%),"2,5",IF(AND(C580="Pemda",L580&gt;10%),"1,5",IF(AND(C580="Pemda",L580&gt;0.1%),"0,75",IF(AND(C580="Pemda",L580&gt;=0%),"0,5","0"))))))))))</f>
        <v>0,5</v>
      </c>
      <c r="N580" s="35" t="str">
        <f t="shared" ref="N580:N643" si="62">_xlfn.IFS(AND(C580="KL",M580="3"),"Sangat Memuaskan",AND(C580="Pemda",M580="3,5"),"Sangat Memuaskan",AND(C580="KL",M580="2"),"Memuaskan",AND(C580="Pemda",M580="2,5"),"Memuaskan",AND(C580="KL",M580="1"),"Sangat Baik",AND(C580="Pemda",M580="1,5"),"Sangat Baik",AND(C580="KL",M580="0,75"),"Baik",AND(C580="Pemda",M580="0,75"),"Baik",AND(C580="KL",M580="0,5"),"Cukup",AND(C580="Pemda",M580="0,5"),"Cukup",AND(C580="KL",M580&lt;0.5),"Kurang",AND(C580="Pemda",M580&lt;0.5),"Kurang")</f>
        <v>Cukup</v>
      </c>
      <c r="O580" s="35" t="str">
        <f t="shared" ref="O580:O643" si="63">IF(N580="Kurang","Isi Rekomendasi","Terlampir Pada LHE ZI")</f>
        <v>Terlampir Pada LHE ZI</v>
      </c>
    </row>
    <row r="581" spans="1:15" x14ac:dyDescent="0.25">
      <c r="A581" s="35"/>
      <c r="B581" s="35" t="s">
        <v>258</v>
      </c>
      <c r="C581" s="35" t="s">
        <v>307</v>
      </c>
      <c r="D581" s="36">
        <v>0</v>
      </c>
      <c r="E581" s="36">
        <v>0</v>
      </c>
      <c r="F581" s="36">
        <v>0</v>
      </c>
      <c r="G581" s="36">
        <v>0</v>
      </c>
      <c r="H581" s="36">
        <v>2</v>
      </c>
      <c r="I581" s="36">
        <v>0</v>
      </c>
      <c r="J581" s="37">
        <f t="shared" si="59"/>
        <v>2</v>
      </c>
      <c r="K581" s="37">
        <f t="shared" si="60"/>
        <v>0</v>
      </c>
      <c r="L581" s="38">
        <f t="shared" si="58"/>
        <v>0</v>
      </c>
      <c r="M581" s="39" t="str">
        <f t="shared" si="61"/>
        <v>0,5</v>
      </c>
      <c r="N581" s="35" t="str">
        <f t="shared" si="62"/>
        <v>Cukup</v>
      </c>
      <c r="O581" s="35" t="str">
        <f t="shared" si="63"/>
        <v>Terlampir Pada LHE ZI</v>
      </c>
    </row>
    <row r="582" spans="1:15" x14ac:dyDescent="0.25">
      <c r="A582" s="35"/>
      <c r="B582" s="35" t="s">
        <v>259</v>
      </c>
      <c r="C582" s="35" t="s">
        <v>307</v>
      </c>
      <c r="D582" s="36">
        <v>3</v>
      </c>
      <c r="E582" s="36">
        <v>0</v>
      </c>
      <c r="F582" s="36">
        <v>3</v>
      </c>
      <c r="G582" s="36">
        <v>0</v>
      </c>
      <c r="H582" s="36">
        <v>3</v>
      </c>
      <c r="I582" s="36">
        <v>1</v>
      </c>
      <c r="J582" s="37">
        <f t="shared" si="59"/>
        <v>9</v>
      </c>
      <c r="K582" s="37">
        <f t="shared" si="60"/>
        <v>1</v>
      </c>
      <c r="L582" s="38">
        <f t="shared" si="58"/>
        <v>0.1111111111111111</v>
      </c>
      <c r="M582" s="39" t="str">
        <f t="shared" si="61"/>
        <v>1,5</v>
      </c>
      <c r="N582" s="35" t="str">
        <f t="shared" si="62"/>
        <v>Sangat Baik</v>
      </c>
      <c r="O582" s="35" t="str">
        <f t="shared" si="63"/>
        <v>Terlampir Pada LHE ZI</v>
      </c>
    </row>
    <row r="583" spans="1:15" x14ac:dyDescent="0.25">
      <c r="A583" s="35"/>
      <c r="B583" s="35" t="s">
        <v>260</v>
      </c>
      <c r="C583" s="35" t="s">
        <v>307</v>
      </c>
      <c r="D583" s="36">
        <v>0</v>
      </c>
      <c r="E583" s="36">
        <v>0</v>
      </c>
      <c r="F583" s="36">
        <v>0</v>
      </c>
      <c r="G583" s="36">
        <v>0</v>
      </c>
      <c r="H583" s="36">
        <v>3</v>
      </c>
      <c r="I583" s="36">
        <v>0</v>
      </c>
      <c r="J583" s="37">
        <f t="shared" si="59"/>
        <v>3</v>
      </c>
      <c r="K583" s="37">
        <f t="shared" si="60"/>
        <v>0</v>
      </c>
      <c r="L583" s="38">
        <f t="shared" si="58"/>
        <v>0</v>
      </c>
      <c r="M583" s="39" t="str">
        <f t="shared" si="61"/>
        <v>0,5</v>
      </c>
      <c r="N583" s="35" t="str">
        <f t="shared" si="62"/>
        <v>Cukup</v>
      </c>
      <c r="O583" s="35" t="str">
        <f t="shared" si="63"/>
        <v>Terlampir Pada LHE ZI</v>
      </c>
    </row>
    <row r="584" spans="1:15" x14ac:dyDescent="0.25">
      <c r="A584" s="35"/>
      <c r="B584" s="35" t="s">
        <v>261</v>
      </c>
      <c r="C584" s="35" t="s">
        <v>307</v>
      </c>
      <c r="D584" s="36">
        <v>5</v>
      </c>
      <c r="E584" s="36">
        <v>0</v>
      </c>
      <c r="F584" s="36">
        <v>3</v>
      </c>
      <c r="G584" s="36">
        <v>0</v>
      </c>
      <c r="H584" s="36">
        <v>2</v>
      </c>
      <c r="I584" s="36">
        <v>0</v>
      </c>
      <c r="J584" s="37">
        <f t="shared" si="59"/>
        <v>10</v>
      </c>
      <c r="K584" s="37">
        <f t="shared" si="60"/>
        <v>0</v>
      </c>
      <c r="L584" s="38">
        <f t="shared" si="58"/>
        <v>0</v>
      </c>
      <c r="M584" s="39" t="str">
        <f t="shared" si="61"/>
        <v>0,5</v>
      </c>
      <c r="N584" s="35" t="str">
        <f t="shared" si="62"/>
        <v>Cukup</v>
      </c>
      <c r="O584" s="35" t="str">
        <f t="shared" si="63"/>
        <v>Terlampir Pada LHE ZI</v>
      </c>
    </row>
    <row r="585" spans="1:15" x14ac:dyDescent="0.25">
      <c r="A585" s="35"/>
      <c r="B585" s="35" t="s">
        <v>262</v>
      </c>
      <c r="C585" s="35" t="s">
        <v>307</v>
      </c>
      <c r="D585" s="36">
        <v>2</v>
      </c>
      <c r="E585" s="36">
        <v>0</v>
      </c>
      <c r="F585" s="36">
        <v>2</v>
      </c>
      <c r="G585" s="36">
        <v>0</v>
      </c>
      <c r="H585" s="36">
        <v>1</v>
      </c>
      <c r="I585" s="36">
        <v>1</v>
      </c>
      <c r="J585" s="37">
        <f t="shared" si="59"/>
        <v>5</v>
      </c>
      <c r="K585" s="37">
        <f t="shared" si="60"/>
        <v>1</v>
      </c>
      <c r="L585" s="38">
        <f t="shared" si="58"/>
        <v>0.2</v>
      </c>
      <c r="M585" s="39" t="str">
        <f t="shared" si="61"/>
        <v>1,5</v>
      </c>
      <c r="N585" s="35" t="str">
        <f t="shared" si="62"/>
        <v>Sangat Baik</v>
      </c>
      <c r="O585" s="35" t="str">
        <f t="shared" si="63"/>
        <v>Terlampir Pada LHE ZI</v>
      </c>
    </row>
    <row r="586" spans="1:15" x14ac:dyDescent="0.25">
      <c r="A586" s="35"/>
      <c r="B586" s="35" t="s">
        <v>677</v>
      </c>
      <c r="C586" s="35" t="s">
        <v>307</v>
      </c>
      <c r="D586" s="36">
        <v>0</v>
      </c>
      <c r="E586" s="36">
        <v>0</v>
      </c>
      <c r="F586" s="36">
        <v>0</v>
      </c>
      <c r="G586" s="36">
        <v>0</v>
      </c>
      <c r="H586" s="36">
        <v>0</v>
      </c>
      <c r="I586" s="36">
        <v>0</v>
      </c>
      <c r="J586" s="37">
        <f t="shared" si="59"/>
        <v>0</v>
      </c>
      <c r="K586" s="37">
        <f t="shared" si="60"/>
        <v>0</v>
      </c>
      <c r="L586" s="38" t="e">
        <v>#DIV/0!</v>
      </c>
      <c r="M586" s="39">
        <v>0</v>
      </c>
      <c r="N586" s="35" t="str">
        <f t="shared" si="62"/>
        <v>Kurang</v>
      </c>
      <c r="O586" s="35" t="str">
        <f t="shared" si="63"/>
        <v>Isi Rekomendasi</v>
      </c>
    </row>
    <row r="587" spans="1:15" x14ac:dyDescent="0.25">
      <c r="A587" s="35"/>
      <c r="B587" s="35" t="s">
        <v>405</v>
      </c>
      <c r="C587" s="35" t="s">
        <v>307</v>
      </c>
      <c r="D587" s="36">
        <v>3</v>
      </c>
      <c r="E587" s="36">
        <v>0</v>
      </c>
      <c r="F587" s="36">
        <v>0</v>
      </c>
      <c r="G587" s="36">
        <v>0</v>
      </c>
      <c r="H587" s="36">
        <v>0</v>
      </c>
      <c r="I587" s="36">
        <v>0</v>
      </c>
      <c r="J587" s="37">
        <f t="shared" si="59"/>
        <v>3</v>
      </c>
      <c r="K587" s="37">
        <f t="shared" si="60"/>
        <v>0</v>
      </c>
      <c r="L587" s="38">
        <f t="shared" ref="L587:L594" si="64">K587/J587</f>
        <v>0</v>
      </c>
      <c r="M587" s="39" t="str">
        <f t="shared" si="61"/>
        <v>0,5</v>
      </c>
      <c r="N587" s="35" t="str">
        <f t="shared" si="62"/>
        <v>Cukup</v>
      </c>
      <c r="O587" s="35" t="str">
        <f t="shared" si="63"/>
        <v>Terlampir Pada LHE ZI</v>
      </c>
    </row>
    <row r="588" spans="1:15" x14ac:dyDescent="0.25">
      <c r="A588" s="35"/>
      <c r="B588" s="35" t="s">
        <v>402</v>
      </c>
      <c r="C588" s="35" t="s">
        <v>307</v>
      </c>
      <c r="D588" s="36">
        <v>0</v>
      </c>
      <c r="E588" s="36">
        <v>0</v>
      </c>
      <c r="F588" s="36">
        <v>1</v>
      </c>
      <c r="G588" s="36">
        <v>0</v>
      </c>
      <c r="H588" s="36">
        <v>0</v>
      </c>
      <c r="I588" s="36">
        <v>0</v>
      </c>
      <c r="J588" s="37">
        <f t="shared" si="59"/>
        <v>1</v>
      </c>
      <c r="K588" s="37">
        <f t="shared" si="60"/>
        <v>0</v>
      </c>
      <c r="L588" s="38">
        <f t="shared" si="64"/>
        <v>0</v>
      </c>
      <c r="M588" s="39" t="str">
        <f t="shared" si="61"/>
        <v>0,5</v>
      </c>
      <c r="N588" s="35" t="str">
        <f t="shared" si="62"/>
        <v>Cukup</v>
      </c>
      <c r="O588" s="35" t="str">
        <f t="shared" si="63"/>
        <v>Terlampir Pada LHE ZI</v>
      </c>
    </row>
    <row r="589" spans="1:15" x14ac:dyDescent="0.25">
      <c r="A589" s="35"/>
      <c r="B589" s="35" t="s">
        <v>263</v>
      </c>
      <c r="C589" s="35" t="s">
        <v>307</v>
      </c>
      <c r="D589" s="36">
        <v>3</v>
      </c>
      <c r="E589" s="36">
        <v>0</v>
      </c>
      <c r="F589" s="36">
        <v>3</v>
      </c>
      <c r="G589" s="36">
        <v>0</v>
      </c>
      <c r="H589" s="36">
        <v>6</v>
      </c>
      <c r="I589" s="36">
        <v>0</v>
      </c>
      <c r="J589" s="37">
        <f t="shared" si="59"/>
        <v>12</v>
      </c>
      <c r="K589" s="37">
        <f t="shared" si="60"/>
        <v>0</v>
      </c>
      <c r="L589" s="38">
        <f t="shared" si="64"/>
        <v>0</v>
      </c>
      <c r="M589" s="39" t="str">
        <f t="shared" si="61"/>
        <v>0,5</v>
      </c>
      <c r="N589" s="35" t="str">
        <f t="shared" si="62"/>
        <v>Cukup</v>
      </c>
      <c r="O589" s="35" t="str">
        <f t="shared" si="63"/>
        <v>Terlampir Pada LHE ZI</v>
      </c>
    </row>
    <row r="590" spans="1:15" x14ac:dyDescent="0.25">
      <c r="A590" s="35"/>
      <c r="B590" s="35" t="s">
        <v>264</v>
      </c>
      <c r="C590" s="35" t="s">
        <v>307</v>
      </c>
      <c r="D590" s="36">
        <v>4</v>
      </c>
      <c r="E590" s="36">
        <v>0</v>
      </c>
      <c r="F590" s="36">
        <v>8</v>
      </c>
      <c r="G590" s="36">
        <v>1</v>
      </c>
      <c r="H590" s="36">
        <v>6</v>
      </c>
      <c r="I590" s="36">
        <v>2</v>
      </c>
      <c r="J590" s="37">
        <f t="shared" si="59"/>
        <v>18</v>
      </c>
      <c r="K590" s="37">
        <f t="shared" si="60"/>
        <v>3</v>
      </c>
      <c r="L590" s="38">
        <f t="shared" si="64"/>
        <v>0.16666666666666666</v>
      </c>
      <c r="M590" s="39" t="str">
        <f t="shared" si="61"/>
        <v>1,5</v>
      </c>
      <c r="N590" s="35" t="str">
        <f t="shared" si="62"/>
        <v>Sangat Baik</v>
      </c>
      <c r="O590" s="35" t="str">
        <f t="shared" si="63"/>
        <v>Terlampir Pada LHE ZI</v>
      </c>
    </row>
    <row r="591" spans="1:15" x14ac:dyDescent="0.25">
      <c r="A591" s="35"/>
      <c r="B591" s="35" t="s">
        <v>265</v>
      </c>
      <c r="C591" s="35" t="s">
        <v>307</v>
      </c>
      <c r="D591" s="36">
        <v>15</v>
      </c>
      <c r="E591" s="36">
        <v>0</v>
      </c>
      <c r="F591" s="36">
        <v>19</v>
      </c>
      <c r="G591" s="36">
        <v>2</v>
      </c>
      <c r="H591" s="36">
        <v>9</v>
      </c>
      <c r="I591" s="36">
        <v>2</v>
      </c>
      <c r="J591" s="37">
        <f t="shared" si="59"/>
        <v>43</v>
      </c>
      <c r="K591" s="37">
        <f t="shared" si="60"/>
        <v>4</v>
      </c>
      <c r="L591" s="38">
        <f t="shared" si="64"/>
        <v>9.3023255813953487E-2</v>
      </c>
      <c r="M591" s="39" t="str">
        <f t="shared" si="61"/>
        <v>0,75</v>
      </c>
      <c r="N591" s="35" t="str">
        <f t="shared" si="62"/>
        <v>Baik</v>
      </c>
      <c r="O591" s="35" t="str">
        <f t="shared" si="63"/>
        <v>Terlampir Pada LHE ZI</v>
      </c>
    </row>
    <row r="592" spans="1:15" x14ac:dyDescent="0.25">
      <c r="A592" s="35"/>
      <c r="B592" s="35" t="s">
        <v>266</v>
      </c>
      <c r="C592" s="35" t="s">
        <v>307</v>
      </c>
      <c r="D592" s="36">
        <v>2</v>
      </c>
      <c r="E592" s="36">
        <v>0</v>
      </c>
      <c r="F592" s="36">
        <v>4</v>
      </c>
      <c r="G592" s="36">
        <v>0</v>
      </c>
      <c r="H592" s="36">
        <v>4</v>
      </c>
      <c r="I592" s="36">
        <v>1</v>
      </c>
      <c r="J592" s="37">
        <f t="shared" si="59"/>
        <v>10</v>
      </c>
      <c r="K592" s="37">
        <f t="shared" si="60"/>
        <v>1</v>
      </c>
      <c r="L592" s="38">
        <f t="shared" si="64"/>
        <v>0.1</v>
      </c>
      <c r="M592" s="39" t="str">
        <f t="shared" si="61"/>
        <v>0,75</v>
      </c>
      <c r="N592" s="35" t="str">
        <f t="shared" si="62"/>
        <v>Baik</v>
      </c>
      <c r="O592" s="35" t="str">
        <f t="shared" si="63"/>
        <v>Terlampir Pada LHE ZI</v>
      </c>
    </row>
    <row r="593" spans="1:15" x14ac:dyDescent="0.25">
      <c r="A593" s="35"/>
      <c r="B593" s="35" t="s">
        <v>403</v>
      </c>
      <c r="C593" s="35" t="s">
        <v>307</v>
      </c>
      <c r="D593" s="36">
        <v>2</v>
      </c>
      <c r="E593" s="36">
        <v>0</v>
      </c>
      <c r="F593" s="36">
        <v>0</v>
      </c>
      <c r="G593" s="36">
        <v>0</v>
      </c>
      <c r="H593" s="36">
        <v>0</v>
      </c>
      <c r="I593" s="36">
        <v>0</v>
      </c>
      <c r="J593" s="37">
        <f t="shared" si="59"/>
        <v>2</v>
      </c>
      <c r="K593" s="37">
        <f t="shared" si="60"/>
        <v>0</v>
      </c>
      <c r="L593" s="38">
        <f t="shared" si="64"/>
        <v>0</v>
      </c>
      <c r="M593" s="39" t="str">
        <f t="shared" si="61"/>
        <v>0,5</v>
      </c>
      <c r="N593" s="35" t="str">
        <f t="shared" si="62"/>
        <v>Cukup</v>
      </c>
      <c r="O593" s="35" t="str">
        <f t="shared" si="63"/>
        <v>Terlampir Pada LHE ZI</v>
      </c>
    </row>
    <row r="594" spans="1:15" x14ac:dyDescent="0.25">
      <c r="A594" s="35"/>
      <c r="B594" s="35" t="s">
        <v>267</v>
      </c>
      <c r="C594" s="35" t="s">
        <v>307</v>
      </c>
      <c r="D594" s="36">
        <v>4</v>
      </c>
      <c r="E594" s="36">
        <v>0</v>
      </c>
      <c r="F594" s="36">
        <v>13</v>
      </c>
      <c r="G594" s="36">
        <v>1</v>
      </c>
      <c r="H594" s="36">
        <v>5</v>
      </c>
      <c r="I594" s="36">
        <v>5</v>
      </c>
      <c r="J594" s="37">
        <f t="shared" si="59"/>
        <v>22</v>
      </c>
      <c r="K594" s="37">
        <f t="shared" si="60"/>
        <v>6</v>
      </c>
      <c r="L594" s="38">
        <f t="shared" si="64"/>
        <v>0.27272727272727271</v>
      </c>
      <c r="M594" s="39" t="str">
        <f t="shared" si="61"/>
        <v>1,5</v>
      </c>
      <c r="N594" s="35" t="str">
        <f t="shared" si="62"/>
        <v>Sangat Baik</v>
      </c>
      <c r="O594" s="35" t="str">
        <f t="shared" si="63"/>
        <v>Terlampir Pada LHE ZI</v>
      </c>
    </row>
    <row r="595" spans="1:15" x14ac:dyDescent="0.25">
      <c r="A595" s="35"/>
      <c r="B595" s="35" t="s">
        <v>678</v>
      </c>
      <c r="C595" s="35" t="s">
        <v>306</v>
      </c>
      <c r="D595" s="36">
        <v>0</v>
      </c>
      <c r="E595" s="36">
        <v>0</v>
      </c>
      <c r="F595" s="36">
        <v>0</v>
      </c>
      <c r="G595" s="36">
        <v>0</v>
      </c>
      <c r="H595" s="36">
        <v>0</v>
      </c>
      <c r="I595" s="36">
        <v>0</v>
      </c>
      <c r="J595" s="37">
        <f t="shared" si="59"/>
        <v>0</v>
      </c>
      <c r="K595" s="37">
        <f t="shared" si="60"/>
        <v>0</v>
      </c>
      <c r="L595" s="38" t="e">
        <v>#DIV/0!</v>
      </c>
      <c r="M595" s="39">
        <v>0</v>
      </c>
      <c r="N595" s="35" t="str">
        <f t="shared" si="62"/>
        <v>Kurang</v>
      </c>
      <c r="O595" s="35" t="str">
        <f t="shared" si="63"/>
        <v>Isi Rekomendasi</v>
      </c>
    </row>
    <row r="596" spans="1:15" x14ac:dyDescent="0.25">
      <c r="A596" s="35"/>
      <c r="B596" s="35" t="s">
        <v>679</v>
      </c>
      <c r="C596" s="35" t="s">
        <v>306</v>
      </c>
      <c r="D596" s="36">
        <v>0</v>
      </c>
      <c r="E596" s="36">
        <v>0</v>
      </c>
      <c r="F596" s="36">
        <v>0</v>
      </c>
      <c r="G596" s="36">
        <v>0</v>
      </c>
      <c r="H596" s="36">
        <v>0</v>
      </c>
      <c r="I596" s="36">
        <v>0</v>
      </c>
      <c r="J596" s="37">
        <f t="shared" si="59"/>
        <v>0</v>
      </c>
      <c r="K596" s="37">
        <f t="shared" si="60"/>
        <v>0</v>
      </c>
      <c r="L596" s="38" t="e">
        <v>#DIV/0!</v>
      </c>
      <c r="M596" s="39">
        <v>0</v>
      </c>
      <c r="N596" s="35" t="str">
        <f t="shared" si="62"/>
        <v>Kurang</v>
      </c>
      <c r="O596" s="35" t="str">
        <f t="shared" si="63"/>
        <v>Isi Rekomendasi</v>
      </c>
    </row>
    <row r="597" spans="1:15" x14ac:dyDescent="0.25">
      <c r="A597" s="35"/>
      <c r="B597" s="35" t="s">
        <v>680</v>
      </c>
      <c r="C597" s="35" t="s">
        <v>306</v>
      </c>
      <c r="D597" s="36">
        <v>0</v>
      </c>
      <c r="E597" s="36">
        <v>0</v>
      </c>
      <c r="F597" s="36">
        <v>0</v>
      </c>
      <c r="G597" s="36">
        <v>0</v>
      </c>
      <c r="H597" s="36">
        <v>0</v>
      </c>
      <c r="I597" s="36">
        <v>0</v>
      </c>
      <c r="J597" s="37">
        <f t="shared" si="59"/>
        <v>0</v>
      </c>
      <c r="K597" s="37">
        <f t="shared" si="60"/>
        <v>0</v>
      </c>
      <c r="L597" s="38" t="e">
        <v>#DIV/0!</v>
      </c>
      <c r="M597" s="39">
        <v>0</v>
      </c>
      <c r="N597" s="35" t="str">
        <f t="shared" si="62"/>
        <v>Kurang</v>
      </c>
      <c r="O597" s="35" t="str">
        <f t="shared" si="63"/>
        <v>Isi Rekomendasi</v>
      </c>
    </row>
    <row r="598" spans="1:15" x14ac:dyDescent="0.25">
      <c r="A598" s="35"/>
      <c r="B598" s="35" t="s">
        <v>681</v>
      </c>
      <c r="C598" s="35" t="s">
        <v>306</v>
      </c>
      <c r="D598" s="36">
        <v>0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7">
        <f t="shared" si="59"/>
        <v>0</v>
      </c>
      <c r="K598" s="37">
        <f t="shared" si="60"/>
        <v>0</v>
      </c>
      <c r="L598" s="38" t="e">
        <v>#DIV/0!</v>
      </c>
      <c r="M598" s="39">
        <v>0</v>
      </c>
      <c r="N598" s="35" t="str">
        <f t="shared" si="62"/>
        <v>Kurang</v>
      </c>
      <c r="O598" s="35" t="str">
        <f t="shared" si="63"/>
        <v>Isi Rekomendasi</v>
      </c>
    </row>
    <row r="599" spans="1:15" x14ac:dyDescent="0.25">
      <c r="A599" s="35"/>
      <c r="B599" s="35" t="s">
        <v>682</v>
      </c>
      <c r="C599" s="35" t="s">
        <v>306</v>
      </c>
      <c r="D599" s="36">
        <v>0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7">
        <f t="shared" si="59"/>
        <v>0</v>
      </c>
      <c r="K599" s="37">
        <f t="shared" si="60"/>
        <v>0</v>
      </c>
      <c r="L599" s="38" t="e">
        <v>#DIV/0!</v>
      </c>
      <c r="M599" s="39">
        <v>0</v>
      </c>
      <c r="N599" s="35" t="str">
        <f t="shared" si="62"/>
        <v>Kurang</v>
      </c>
      <c r="O599" s="35" t="str">
        <f t="shared" si="63"/>
        <v>Isi Rekomendasi</v>
      </c>
    </row>
    <row r="600" spans="1:15" x14ac:dyDescent="0.25">
      <c r="A600" s="35"/>
      <c r="B600" s="35" t="s">
        <v>683</v>
      </c>
      <c r="C600" s="35" t="s">
        <v>306</v>
      </c>
      <c r="D600" s="36">
        <v>0</v>
      </c>
      <c r="E600" s="36">
        <v>0</v>
      </c>
      <c r="F600" s="36">
        <v>0</v>
      </c>
      <c r="G600" s="36">
        <v>0</v>
      </c>
      <c r="H600" s="36">
        <v>0</v>
      </c>
      <c r="I600" s="36">
        <v>0</v>
      </c>
      <c r="J600" s="37">
        <f t="shared" si="59"/>
        <v>0</v>
      </c>
      <c r="K600" s="37">
        <f t="shared" si="60"/>
        <v>0</v>
      </c>
      <c r="L600" s="38" t="e">
        <v>#DIV/0!</v>
      </c>
      <c r="M600" s="39">
        <v>0</v>
      </c>
      <c r="N600" s="35" t="str">
        <f t="shared" si="62"/>
        <v>Kurang</v>
      </c>
      <c r="O600" s="35" t="str">
        <f t="shared" si="63"/>
        <v>Isi Rekomendasi</v>
      </c>
    </row>
    <row r="601" spans="1:15" x14ac:dyDescent="0.25">
      <c r="A601" s="35"/>
      <c r="B601" s="35" t="s">
        <v>684</v>
      </c>
      <c r="C601" s="35" t="s">
        <v>306</v>
      </c>
      <c r="D601" s="36">
        <v>0</v>
      </c>
      <c r="E601" s="36">
        <v>0</v>
      </c>
      <c r="F601" s="36">
        <v>0</v>
      </c>
      <c r="G601" s="36">
        <v>0</v>
      </c>
      <c r="H601" s="36">
        <v>0</v>
      </c>
      <c r="I601" s="36">
        <v>0</v>
      </c>
      <c r="J601" s="37">
        <f t="shared" si="59"/>
        <v>0</v>
      </c>
      <c r="K601" s="37">
        <f t="shared" si="60"/>
        <v>0</v>
      </c>
      <c r="L601" s="38" t="e">
        <v>#DIV/0!</v>
      </c>
      <c r="M601" s="39">
        <v>0</v>
      </c>
      <c r="N601" s="35" t="str">
        <f t="shared" si="62"/>
        <v>Kurang</v>
      </c>
      <c r="O601" s="35" t="str">
        <f t="shared" si="63"/>
        <v>Isi Rekomendasi</v>
      </c>
    </row>
    <row r="602" spans="1:15" x14ac:dyDescent="0.25">
      <c r="A602" s="35"/>
      <c r="B602" s="35" t="s">
        <v>685</v>
      </c>
      <c r="C602" s="35" t="s">
        <v>306</v>
      </c>
      <c r="D602" s="36">
        <v>0</v>
      </c>
      <c r="E602" s="36">
        <v>0</v>
      </c>
      <c r="F602" s="36">
        <v>0</v>
      </c>
      <c r="G602" s="36">
        <v>0</v>
      </c>
      <c r="H602" s="36">
        <v>0</v>
      </c>
      <c r="I602" s="36">
        <v>0</v>
      </c>
      <c r="J602" s="37">
        <f t="shared" si="59"/>
        <v>0</v>
      </c>
      <c r="K602" s="37">
        <f t="shared" si="60"/>
        <v>0</v>
      </c>
      <c r="L602" s="38" t="e">
        <v>#DIV/0!</v>
      </c>
      <c r="M602" s="39">
        <v>0</v>
      </c>
      <c r="N602" s="35" t="str">
        <f t="shared" si="62"/>
        <v>Kurang</v>
      </c>
      <c r="O602" s="35" t="str">
        <f t="shared" si="63"/>
        <v>Isi Rekomendasi</v>
      </c>
    </row>
    <row r="603" spans="1:15" x14ac:dyDescent="0.25">
      <c r="A603" s="35"/>
      <c r="B603" s="35" t="s">
        <v>686</v>
      </c>
      <c r="C603" s="35" t="s">
        <v>306</v>
      </c>
      <c r="D603" s="36">
        <v>0</v>
      </c>
      <c r="E603" s="36">
        <v>0</v>
      </c>
      <c r="F603" s="36">
        <v>0</v>
      </c>
      <c r="G603" s="36">
        <v>0</v>
      </c>
      <c r="H603" s="36">
        <v>0</v>
      </c>
      <c r="I603" s="36">
        <v>0</v>
      </c>
      <c r="J603" s="37">
        <f t="shared" si="59"/>
        <v>0</v>
      </c>
      <c r="K603" s="37">
        <f t="shared" si="60"/>
        <v>0</v>
      </c>
      <c r="L603" s="38" t="e">
        <v>#DIV/0!</v>
      </c>
      <c r="M603" s="39">
        <v>0</v>
      </c>
      <c r="N603" s="35" t="str">
        <f t="shared" si="62"/>
        <v>Kurang</v>
      </c>
      <c r="O603" s="35" t="str">
        <f t="shared" si="63"/>
        <v>Isi Rekomendasi</v>
      </c>
    </row>
    <row r="604" spans="1:15" x14ac:dyDescent="0.25">
      <c r="A604" s="35"/>
      <c r="B604" s="35" t="s">
        <v>687</v>
      </c>
      <c r="C604" s="35" t="s">
        <v>306</v>
      </c>
      <c r="D604" s="36">
        <v>0</v>
      </c>
      <c r="E604" s="36">
        <v>0</v>
      </c>
      <c r="F604" s="36">
        <v>0</v>
      </c>
      <c r="G604" s="36">
        <v>0</v>
      </c>
      <c r="H604" s="36">
        <v>0</v>
      </c>
      <c r="I604" s="36">
        <v>0</v>
      </c>
      <c r="J604" s="37">
        <f t="shared" si="59"/>
        <v>0</v>
      </c>
      <c r="K604" s="37">
        <f t="shared" si="60"/>
        <v>0</v>
      </c>
      <c r="L604" s="38" t="e">
        <v>#DIV/0!</v>
      </c>
      <c r="M604" s="39">
        <v>0</v>
      </c>
      <c r="N604" s="35" t="str">
        <f t="shared" si="62"/>
        <v>Kurang</v>
      </c>
      <c r="O604" s="35" t="str">
        <f t="shared" si="63"/>
        <v>Isi Rekomendasi</v>
      </c>
    </row>
    <row r="605" spans="1:15" x14ac:dyDescent="0.25">
      <c r="A605" s="35"/>
      <c r="B605" s="35" t="s">
        <v>268</v>
      </c>
      <c r="C605" s="35" t="s">
        <v>306</v>
      </c>
      <c r="D605" s="36">
        <v>3</v>
      </c>
      <c r="E605" s="36">
        <v>0</v>
      </c>
      <c r="F605" s="36">
        <v>6</v>
      </c>
      <c r="G605" s="36">
        <v>0</v>
      </c>
      <c r="H605" s="36">
        <v>2</v>
      </c>
      <c r="I605" s="36">
        <v>0</v>
      </c>
      <c r="J605" s="37">
        <f t="shared" si="59"/>
        <v>11</v>
      </c>
      <c r="K605" s="37">
        <f t="shared" si="60"/>
        <v>0</v>
      </c>
      <c r="L605" s="38">
        <f>K605/J605</f>
        <v>0</v>
      </c>
      <c r="M605" s="39" t="str">
        <f t="shared" si="61"/>
        <v>0,5</v>
      </c>
      <c r="N605" s="35" t="str">
        <f t="shared" si="62"/>
        <v>Cukup</v>
      </c>
      <c r="O605" s="35" t="str">
        <f t="shared" si="63"/>
        <v>Terlampir Pada LHE ZI</v>
      </c>
    </row>
    <row r="606" spans="1:15" x14ac:dyDescent="0.25">
      <c r="A606" s="35"/>
      <c r="B606" s="35" t="s">
        <v>269</v>
      </c>
      <c r="C606" s="35" t="s">
        <v>306</v>
      </c>
      <c r="D606" s="36">
        <v>2</v>
      </c>
      <c r="E606" s="36">
        <v>0</v>
      </c>
      <c r="F606" s="36">
        <v>1</v>
      </c>
      <c r="G606" s="36">
        <v>0</v>
      </c>
      <c r="H606" s="36">
        <v>1</v>
      </c>
      <c r="I606" s="36">
        <v>0</v>
      </c>
      <c r="J606" s="37">
        <f t="shared" si="59"/>
        <v>4</v>
      </c>
      <c r="K606" s="37">
        <f t="shared" si="60"/>
        <v>0</v>
      </c>
      <c r="L606" s="38">
        <f>K606/J606</f>
        <v>0</v>
      </c>
      <c r="M606" s="39" t="str">
        <f t="shared" si="61"/>
        <v>0,5</v>
      </c>
      <c r="N606" s="35" t="str">
        <f t="shared" si="62"/>
        <v>Cukup</v>
      </c>
      <c r="O606" s="35" t="str">
        <f t="shared" si="63"/>
        <v>Terlampir Pada LHE ZI</v>
      </c>
    </row>
    <row r="607" spans="1:15" x14ac:dyDescent="0.25">
      <c r="A607" s="35"/>
      <c r="B607" s="35" t="s">
        <v>270</v>
      </c>
      <c r="C607" s="35" t="s">
        <v>306</v>
      </c>
      <c r="D607" s="36">
        <v>1</v>
      </c>
      <c r="E607" s="36">
        <v>0</v>
      </c>
      <c r="F607" s="36">
        <v>0</v>
      </c>
      <c r="G607" s="36">
        <v>0</v>
      </c>
      <c r="H607" s="36">
        <v>1</v>
      </c>
      <c r="I607" s="36">
        <v>0</v>
      </c>
      <c r="J607" s="37">
        <f t="shared" si="59"/>
        <v>2</v>
      </c>
      <c r="K607" s="37">
        <f t="shared" si="60"/>
        <v>0</v>
      </c>
      <c r="L607" s="38">
        <f>K607/J607</f>
        <v>0</v>
      </c>
      <c r="M607" s="39" t="str">
        <f t="shared" si="61"/>
        <v>0,5</v>
      </c>
      <c r="N607" s="35" t="str">
        <f t="shared" si="62"/>
        <v>Cukup</v>
      </c>
      <c r="O607" s="35" t="str">
        <f t="shared" si="63"/>
        <v>Terlampir Pada LHE ZI</v>
      </c>
    </row>
    <row r="608" spans="1:15" x14ac:dyDescent="0.25">
      <c r="A608" s="35"/>
      <c r="B608" s="35" t="s">
        <v>292</v>
      </c>
      <c r="C608" s="35" t="s">
        <v>306</v>
      </c>
      <c r="D608" s="36">
        <v>20</v>
      </c>
      <c r="E608" s="36">
        <v>6</v>
      </c>
      <c r="F608" s="36">
        <v>28</v>
      </c>
      <c r="G608" s="36">
        <v>10</v>
      </c>
      <c r="H608" s="36">
        <v>22</v>
      </c>
      <c r="I608" s="36">
        <v>8.5</v>
      </c>
      <c r="J608" s="37">
        <f t="shared" si="59"/>
        <v>70</v>
      </c>
      <c r="K608" s="37">
        <f t="shared" si="60"/>
        <v>24.5</v>
      </c>
      <c r="L608" s="38">
        <f>K608/J608</f>
        <v>0.35</v>
      </c>
      <c r="M608" s="39" t="str">
        <f t="shared" si="61"/>
        <v>1</v>
      </c>
      <c r="N608" s="35" t="str">
        <f t="shared" si="62"/>
        <v>Sangat Baik</v>
      </c>
      <c r="O608" s="35" t="str">
        <f t="shared" si="63"/>
        <v>Terlampir Pada LHE ZI</v>
      </c>
    </row>
    <row r="609" spans="1:15" x14ac:dyDescent="0.25">
      <c r="A609" s="35"/>
      <c r="B609" s="35" t="s">
        <v>351</v>
      </c>
      <c r="C609" s="35" t="s">
        <v>306</v>
      </c>
      <c r="D609" s="36">
        <v>0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7">
        <f t="shared" si="59"/>
        <v>0</v>
      </c>
      <c r="K609" s="37">
        <f t="shared" si="60"/>
        <v>0</v>
      </c>
      <c r="L609" s="38" t="e">
        <v>#DIV/0!</v>
      </c>
      <c r="M609" s="39">
        <v>0</v>
      </c>
      <c r="N609" s="35" t="str">
        <f t="shared" si="62"/>
        <v>Kurang</v>
      </c>
      <c r="O609" s="35" t="str">
        <f t="shared" si="63"/>
        <v>Isi Rekomendasi</v>
      </c>
    </row>
    <row r="610" spans="1:15" x14ac:dyDescent="0.25">
      <c r="A610" s="35"/>
      <c r="B610" s="35" t="s">
        <v>272</v>
      </c>
      <c r="C610" s="35" t="s">
        <v>306</v>
      </c>
      <c r="D610" s="36">
        <v>0</v>
      </c>
      <c r="E610" s="36">
        <v>0</v>
      </c>
      <c r="F610" s="36">
        <v>0</v>
      </c>
      <c r="G610" s="36">
        <v>0</v>
      </c>
      <c r="H610" s="36">
        <v>2</v>
      </c>
      <c r="I610" s="36">
        <v>0</v>
      </c>
      <c r="J610" s="37">
        <f t="shared" si="59"/>
        <v>2</v>
      </c>
      <c r="K610" s="37">
        <f t="shared" si="60"/>
        <v>0</v>
      </c>
      <c r="L610" s="38">
        <f t="shared" ref="L610:L616" si="65">K610/J610</f>
        <v>0</v>
      </c>
      <c r="M610" s="39" t="str">
        <f t="shared" si="61"/>
        <v>0,5</v>
      </c>
      <c r="N610" s="35" t="str">
        <f t="shared" si="62"/>
        <v>Cukup</v>
      </c>
      <c r="O610" s="35" t="str">
        <f t="shared" si="63"/>
        <v>Terlampir Pada LHE ZI</v>
      </c>
    </row>
    <row r="611" spans="1:15" x14ac:dyDescent="0.25">
      <c r="A611" s="35"/>
      <c r="B611" s="35" t="s">
        <v>273</v>
      </c>
      <c r="C611" s="35" t="s">
        <v>306</v>
      </c>
      <c r="D611" s="36">
        <v>4</v>
      </c>
      <c r="E611" s="36">
        <v>0</v>
      </c>
      <c r="F611" s="36">
        <v>0</v>
      </c>
      <c r="G611" s="36">
        <v>0</v>
      </c>
      <c r="H611" s="36">
        <v>2</v>
      </c>
      <c r="I611" s="36">
        <v>0</v>
      </c>
      <c r="J611" s="37">
        <f t="shared" si="59"/>
        <v>6</v>
      </c>
      <c r="K611" s="37">
        <f t="shared" si="60"/>
        <v>0</v>
      </c>
      <c r="L611" s="38">
        <f t="shared" si="65"/>
        <v>0</v>
      </c>
      <c r="M611" s="39" t="str">
        <f t="shared" si="61"/>
        <v>0,5</v>
      </c>
      <c r="N611" s="35" t="str">
        <f t="shared" si="62"/>
        <v>Cukup</v>
      </c>
      <c r="O611" s="35" t="str">
        <f t="shared" si="63"/>
        <v>Terlampir Pada LHE ZI</v>
      </c>
    </row>
    <row r="612" spans="1:15" x14ac:dyDescent="0.25">
      <c r="A612" s="35"/>
      <c r="B612" s="35" t="s">
        <v>274</v>
      </c>
      <c r="C612" s="35" t="s">
        <v>306</v>
      </c>
      <c r="D612" s="36">
        <v>0</v>
      </c>
      <c r="E612" s="36">
        <v>0</v>
      </c>
      <c r="F612" s="36">
        <v>0</v>
      </c>
      <c r="G612" s="36">
        <v>0</v>
      </c>
      <c r="H612" s="36">
        <v>1</v>
      </c>
      <c r="I612" s="36">
        <v>1</v>
      </c>
      <c r="J612" s="37">
        <f t="shared" si="59"/>
        <v>1</v>
      </c>
      <c r="K612" s="37">
        <f t="shared" si="60"/>
        <v>1</v>
      </c>
      <c r="L612" s="38">
        <f t="shared" si="65"/>
        <v>1</v>
      </c>
      <c r="M612" s="39" t="str">
        <f t="shared" si="61"/>
        <v>3</v>
      </c>
      <c r="N612" s="35" t="str">
        <f t="shared" si="62"/>
        <v>Sangat Memuaskan</v>
      </c>
      <c r="O612" s="35" t="str">
        <f t="shared" si="63"/>
        <v>Terlampir Pada LHE ZI</v>
      </c>
    </row>
    <row r="613" spans="1:15" x14ac:dyDescent="0.25">
      <c r="A613" s="35"/>
      <c r="B613" s="35" t="s">
        <v>275</v>
      </c>
      <c r="C613" s="35" t="s">
        <v>306</v>
      </c>
      <c r="D613" s="36">
        <v>0</v>
      </c>
      <c r="E613" s="36">
        <v>0</v>
      </c>
      <c r="F613" s="36">
        <v>1</v>
      </c>
      <c r="G613" s="36">
        <v>1</v>
      </c>
      <c r="H613" s="36">
        <v>1</v>
      </c>
      <c r="I613" s="36">
        <v>1</v>
      </c>
      <c r="J613" s="37">
        <f t="shared" si="59"/>
        <v>2</v>
      </c>
      <c r="K613" s="37">
        <f t="shared" si="60"/>
        <v>2</v>
      </c>
      <c r="L613" s="38">
        <f t="shared" si="65"/>
        <v>1</v>
      </c>
      <c r="M613" s="39" t="str">
        <f t="shared" si="61"/>
        <v>3</v>
      </c>
      <c r="N613" s="35" t="str">
        <f t="shared" si="62"/>
        <v>Sangat Memuaskan</v>
      </c>
      <c r="O613" s="35" t="str">
        <f t="shared" si="63"/>
        <v>Terlampir Pada LHE ZI</v>
      </c>
    </row>
    <row r="614" spans="1:15" x14ac:dyDescent="0.25">
      <c r="A614" s="35"/>
      <c r="B614" s="35" t="s">
        <v>276</v>
      </c>
      <c r="C614" s="35" t="s">
        <v>306</v>
      </c>
      <c r="D614" s="36">
        <v>0</v>
      </c>
      <c r="E614" s="36">
        <v>0</v>
      </c>
      <c r="F614" s="36">
        <v>0</v>
      </c>
      <c r="G614" s="36">
        <v>0</v>
      </c>
      <c r="H614" s="36">
        <v>1</v>
      </c>
      <c r="I614" s="36">
        <v>0</v>
      </c>
      <c r="J614" s="37">
        <f t="shared" si="59"/>
        <v>1</v>
      </c>
      <c r="K614" s="37">
        <f t="shared" si="60"/>
        <v>0</v>
      </c>
      <c r="L614" s="38">
        <f t="shared" si="65"/>
        <v>0</v>
      </c>
      <c r="M614" s="39" t="str">
        <f t="shared" si="61"/>
        <v>0,5</v>
      </c>
      <c r="N614" s="35" t="str">
        <f t="shared" si="62"/>
        <v>Cukup</v>
      </c>
      <c r="O614" s="35" t="str">
        <f t="shared" si="63"/>
        <v>Terlampir Pada LHE ZI</v>
      </c>
    </row>
    <row r="615" spans="1:15" x14ac:dyDescent="0.25">
      <c r="A615" s="35"/>
      <c r="B615" s="35" t="s">
        <v>277</v>
      </c>
      <c r="C615" s="35" t="s">
        <v>306</v>
      </c>
      <c r="D615" s="36">
        <v>2</v>
      </c>
      <c r="E615" s="36">
        <v>0</v>
      </c>
      <c r="F615" s="36">
        <v>2</v>
      </c>
      <c r="G615" s="36">
        <v>0</v>
      </c>
      <c r="H615" s="36">
        <v>2</v>
      </c>
      <c r="I615" s="36">
        <v>1</v>
      </c>
      <c r="J615" s="37">
        <f t="shared" si="59"/>
        <v>6</v>
      </c>
      <c r="K615" s="37">
        <f t="shared" si="60"/>
        <v>1</v>
      </c>
      <c r="L615" s="38">
        <f t="shared" si="65"/>
        <v>0.16666666666666666</v>
      </c>
      <c r="M615" s="39" t="str">
        <f t="shared" si="61"/>
        <v>1</v>
      </c>
      <c r="N615" s="35" t="str">
        <f t="shared" si="62"/>
        <v>Sangat Baik</v>
      </c>
      <c r="O615" s="35" t="str">
        <f t="shared" si="63"/>
        <v>Terlampir Pada LHE ZI</v>
      </c>
    </row>
    <row r="616" spans="1:15" x14ac:dyDescent="0.25">
      <c r="A616" s="35"/>
      <c r="B616" s="35" t="s">
        <v>278</v>
      </c>
      <c r="C616" s="35" t="s">
        <v>306</v>
      </c>
      <c r="D616" s="36">
        <v>1</v>
      </c>
      <c r="E616" s="36">
        <v>1</v>
      </c>
      <c r="F616" s="36">
        <v>4</v>
      </c>
      <c r="G616" s="36">
        <v>2</v>
      </c>
      <c r="H616" s="36">
        <v>2</v>
      </c>
      <c r="I616" s="36">
        <v>1</v>
      </c>
      <c r="J616" s="37">
        <f t="shared" si="59"/>
        <v>7</v>
      </c>
      <c r="K616" s="37">
        <f t="shared" si="60"/>
        <v>4</v>
      </c>
      <c r="L616" s="38">
        <f t="shared" si="65"/>
        <v>0.5714285714285714</v>
      </c>
      <c r="M616" s="39" t="str">
        <f t="shared" si="61"/>
        <v>2</v>
      </c>
      <c r="N616" s="35" t="str">
        <f t="shared" si="62"/>
        <v>Memuaskan</v>
      </c>
      <c r="O616" s="35" t="str">
        <f t="shared" si="63"/>
        <v>Terlampir Pada LHE ZI</v>
      </c>
    </row>
    <row r="617" spans="1:15" x14ac:dyDescent="0.25">
      <c r="A617" s="35"/>
      <c r="B617" s="35" t="s">
        <v>688</v>
      </c>
      <c r="C617" s="35" t="s">
        <v>306</v>
      </c>
      <c r="D617" s="36">
        <v>0</v>
      </c>
      <c r="E617" s="36">
        <v>0</v>
      </c>
      <c r="F617" s="36">
        <v>0</v>
      </c>
      <c r="G617" s="36">
        <v>0</v>
      </c>
      <c r="H617" s="36">
        <v>0</v>
      </c>
      <c r="I617" s="36">
        <v>0</v>
      </c>
      <c r="J617" s="37">
        <f t="shared" si="59"/>
        <v>0</v>
      </c>
      <c r="K617" s="37">
        <f t="shared" si="60"/>
        <v>0</v>
      </c>
      <c r="L617" s="38" t="e">
        <v>#DIV/0!</v>
      </c>
      <c r="M617" s="39">
        <v>0</v>
      </c>
      <c r="N617" s="35" t="str">
        <f t="shared" si="62"/>
        <v>Kurang</v>
      </c>
      <c r="O617" s="35" t="str">
        <f t="shared" si="63"/>
        <v>Isi Rekomendasi</v>
      </c>
    </row>
    <row r="618" spans="1:15" x14ac:dyDescent="0.25">
      <c r="A618" s="35"/>
      <c r="B618" s="35" t="s">
        <v>279</v>
      </c>
      <c r="C618" s="35" t="s">
        <v>306</v>
      </c>
      <c r="D618" s="36">
        <v>4</v>
      </c>
      <c r="E618" s="36">
        <v>0</v>
      </c>
      <c r="F618" s="36">
        <v>0</v>
      </c>
      <c r="G618" s="36">
        <v>0</v>
      </c>
      <c r="H618" s="36">
        <v>1</v>
      </c>
      <c r="I618" s="36">
        <v>0</v>
      </c>
      <c r="J618" s="37">
        <f t="shared" si="59"/>
        <v>5</v>
      </c>
      <c r="K618" s="37">
        <f t="shared" si="60"/>
        <v>0</v>
      </c>
      <c r="L618" s="38">
        <f>K618/J618</f>
        <v>0</v>
      </c>
      <c r="M618" s="39" t="str">
        <f t="shared" si="61"/>
        <v>0,5</v>
      </c>
      <c r="N618" s="35" t="str">
        <f t="shared" si="62"/>
        <v>Cukup</v>
      </c>
      <c r="O618" s="35" t="str">
        <f t="shared" si="63"/>
        <v>Terlampir Pada LHE ZI</v>
      </c>
    </row>
    <row r="619" spans="1:15" x14ac:dyDescent="0.25">
      <c r="A619" s="35"/>
      <c r="B619" s="35" t="s">
        <v>280</v>
      </c>
      <c r="C619" s="35" t="s">
        <v>306</v>
      </c>
      <c r="D619" s="36">
        <v>0</v>
      </c>
      <c r="E619" s="36">
        <v>0</v>
      </c>
      <c r="F619" s="36">
        <v>0</v>
      </c>
      <c r="G619" s="36">
        <v>0</v>
      </c>
      <c r="H619" s="36">
        <v>3</v>
      </c>
      <c r="I619" s="36">
        <v>0</v>
      </c>
      <c r="J619" s="37">
        <f t="shared" si="59"/>
        <v>3</v>
      </c>
      <c r="K619" s="37">
        <f t="shared" si="60"/>
        <v>0</v>
      </c>
      <c r="L619" s="38">
        <f>K619/J619</f>
        <v>0</v>
      </c>
      <c r="M619" s="39" t="str">
        <f t="shared" si="61"/>
        <v>0,5</v>
      </c>
      <c r="N619" s="35" t="str">
        <f t="shared" si="62"/>
        <v>Cukup</v>
      </c>
      <c r="O619" s="35" t="str">
        <f t="shared" si="63"/>
        <v>Terlampir Pada LHE ZI</v>
      </c>
    </row>
    <row r="620" spans="1:15" x14ac:dyDescent="0.25">
      <c r="A620" s="35"/>
      <c r="B620" s="35" t="s">
        <v>281</v>
      </c>
      <c r="C620" s="35" t="s">
        <v>306</v>
      </c>
      <c r="D620" s="36">
        <v>0</v>
      </c>
      <c r="E620" s="36">
        <v>0</v>
      </c>
      <c r="F620" s="36">
        <v>0</v>
      </c>
      <c r="G620" s="36">
        <v>0</v>
      </c>
      <c r="H620" s="36">
        <v>1</v>
      </c>
      <c r="I620" s="36">
        <v>0</v>
      </c>
      <c r="J620" s="37">
        <f t="shared" si="59"/>
        <v>1</v>
      </c>
      <c r="K620" s="37">
        <f t="shared" si="60"/>
        <v>0</v>
      </c>
      <c r="L620" s="38">
        <f>K620/J620</f>
        <v>0</v>
      </c>
      <c r="M620" s="39" t="str">
        <f t="shared" si="61"/>
        <v>0,5</v>
      </c>
      <c r="N620" s="35" t="str">
        <f t="shared" si="62"/>
        <v>Cukup</v>
      </c>
      <c r="O620" s="35" t="str">
        <f t="shared" si="63"/>
        <v>Terlampir Pada LHE ZI</v>
      </c>
    </row>
    <row r="621" spans="1:15" x14ac:dyDescent="0.25">
      <c r="A621" s="35"/>
      <c r="B621" s="35" t="s">
        <v>335</v>
      </c>
      <c r="C621" s="35" t="s">
        <v>306</v>
      </c>
      <c r="D621" s="36">
        <v>0</v>
      </c>
      <c r="E621" s="36">
        <v>0</v>
      </c>
      <c r="F621" s="36">
        <v>0</v>
      </c>
      <c r="G621" s="36">
        <v>0</v>
      </c>
      <c r="H621" s="36">
        <v>0</v>
      </c>
      <c r="I621" s="36">
        <v>0</v>
      </c>
      <c r="J621" s="37">
        <f t="shared" si="59"/>
        <v>0</v>
      </c>
      <c r="K621" s="37">
        <f t="shared" si="60"/>
        <v>0</v>
      </c>
      <c r="L621" s="38" t="e">
        <v>#DIV/0!</v>
      </c>
      <c r="M621" s="39">
        <v>0</v>
      </c>
      <c r="N621" s="35" t="str">
        <f t="shared" si="62"/>
        <v>Kurang</v>
      </c>
      <c r="O621" s="35" t="str">
        <f t="shared" si="63"/>
        <v>Isi Rekomendasi</v>
      </c>
    </row>
    <row r="622" spans="1:15" x14ac:dyDescent="0.25">
      <c r="A622" s="35"/>
      <c r="B622" s="35" t="s">
        <v>282</v>
      </c>
      <c r="C622" s="35" t="s">
        <v>306</v>
      </c>
      <c r="D622" s="36">
        <v>0</v>
      </c>
      <c r="E622" s="36">
        <v>0</v>
      </c>
      <c r="F622" s="36">
        <v>0</v>
      </c>
      <c r="G622" s="36">
        <v>0</v>
      </c>
      <c r="H622" s="36">
        <v>3</v>
      </c>
      <c r="I622" s="36">
        <v>0</v>
      </c>
      <c r="J622" s="37">
        <f t="shared" si="59"/>
        <v>3</v>
      </c>
      <c r="K622" s="37">
        <f t="shared" si="60"/>
        <v>0</v>
      </c>
      <c r="L622" s="38">
        <f>K622/J622</f>
        <v>0</v>
      </c>
      <c r="M622" s="39" t="str">
        <f t="shared" si="61"/>
        <v>0,5</v>
      </c>
      <c r="N622" s="35" t="str">
        <f t="shared" si="62"/>
        <v>Cukup</v>
      </c>
      <c r="O622" s="35" t="str">
        <f t="shared" si="63"/>
        <v>Terlampir Pada LHE ZI</v>
      </c>
    </row>
    <row r="623" spans="1:15" x14ac:dyDescent="0.25">
      <c r="A623" s="35"/>
      <c r="B623" s="35" t="s">
        <v>689</v>
      </c>
      <c r="C623" s="35" t="s">
        <v>306</v>
      </c>
      <c r="D623" s="36">
        <v>0</v>
      </c>
      <c r="E623" s="36">
        <v>0</v>
      </c>
      <c r="F623" s="36">
        <v>0</v>
      </c>
      <c r="G623" s="36">
        <v>0</v>
      </c>
      <c r="H623" s="36">
        <v>0</v>
      </c>
      <c r="I623" s="36">
        <v>0</v>
      </c>
      <c r="J623" s="37">
        <f t="shared" si="59"/>
        <v>0</v>
      </c>
      <c r="K623" s="37">
        <f t="shared" si="60"/>
        <v>0</v>
      </c>
      <c r="L623" s="38" t="e">
        <v>#DIV/0!</v>
      </c>
      <c r="M623" s="39">
        <v>0</v>
      </c>
      <c r="N623" s="35" t="str">
        <f t="shared" si="62"/>
        <v>Kurang</v>
      </c>
      <c r="O623" s="35" t="str">
        <f t="shared" si="63"/>
        <v>Isi Rekomendasi</v>
      </c>
    </row>
    <row r="624" spans="1:15" x14ac:dyDescent="0.25">
      <c r="A624" s="35"/>
      <c r="B624" s="35" t="s">
        <v>690</v>
      </c>
      <c r="C624" s="35" t="s">
        <v>306</v>
      </c>
      <c r="D624" s="36">
        <v>0</v>
      </c>
      <c r="E624" s="36">
        <v>0</v>
      </c>
      <c r="F624" s="36">
        <v>0</v>
      </c>
      <c r="G624" s="36">
        <v>0</v>
      </c>
      <c r="H624" s="36">
        <v>0</v>
      </c>
      <c r="I624" s="36">
        <v>0</v>
      </c>
      <c r="J624" s="37">
        <f t="shared" si="59"/>
        <v>0</v>
      </c>
      <c r="K624" s="37">
        <f t="shared" si="60"/>
        <v>0</v>
      </c>
      <c r="L624" s="38" t="e">
        <v>#DIV/0!</v>
      </c>
      <c r="M624" s="39">
        <v>0</v>
      </c>
      <c r="N624" s="35" t="str">
        <f t="shared" si="62"/>
        <v>Kurang</v>
      </c>
      <c r="O624" s="35" t="str">
        <f t="shared" si="63"/>
        <v>Isi Rekomendasi</v>
      </c>
    </row>
    <row r="625" spans="1:15" x14ac:dyDescent="0.25">
      <c r="A625" s="35"/>
      <c r="B625" s="35" t="s">
        <v>283</v>
      </c>
      <c r="C625" s="35" t="s">
        <v>306</v>
      </c>
      <c r="D625" s="36">
        <v>10</v>
      </c>
      <c r="E625" s="36">
        <v>0</v>
      </c>
      <c r="F625" s="36">
        <v>0</v>
      </c>
      <c r="G625" s="36">
        <v>0</v>
      </c>
      <c r="H625" s="36">
        <v>5</v>
      </c>
      <c r="I625" s="36">
        <v>0</v>
      </c>
      <c r="J625" s="37">
        <f t="shared" si="59"/>
        <v>15</v>
      </c>
      <c r="K625" s="37">
        <f t="shared" si="60"/>
        <v>0</v>
      </c>
      <c r="L625" s="38">
        <f>K625/J625</f>
        <v>0</v>
      </c>
      <c r="M625" s="39" t="str">
        <f t="shared" si="61"/>
        <v>0,5</v>
      </c>
      <c r="N625" s="35" t="str">
        <f t="shared" si="62"/>
        <v>Cukup</v>
      </c>
      <c r="O625" s="35" t="str">
        <f t="shared" si="63"/>
        <v>Terlampir Pada LHE ZI</v>
      </c>
    </row>
    <row r="626" spans="1:15" x14ac:dyDescent="0.25">
      <c r="A626" s="35"/>
      <c r="B626" s="35" t="s">
        <v>691</v>
      </c>
      <c r="C626" s="35" t="s">
        <v>306</v>
      </c>
      <c r="D626" s="36">
        <v>0</v>
      </c>
      <c r="E626" s="36">
        <v>0</v>
      </c>
      <c r="F626" s="36">
        <v>0</v>
      </c>
      <c r="G626" s="36">
        <v>0</v>
      </c>
      <c r="H626" s="36">
        <v>0</v>
      </c>
      <c r="I626" s="36">
        <v>0</v>
      </c>
      <c r="J626" s="37">
        <f t="shared" si="59"/>
        <v>0</v>
      </c>
      <c r="K626" s="37">
        <f t="shared" si="60"/>
        <v>0</v>
      </c>
      <c r="L626" s="38" t="e">
        <v>#DIV/0!</v>
      </c>
      <c r="M626" s="39">
        <v>0</v>
      </c>
      <c r="N626" s="35" t="str">
        <f t="shared" si="62"/>
        <v>Kurang</v>
      </c>
      <c r="O626" s="35" t="str">
        <f t="shared" si="63"/>
        <v>Isi Rekomendasi</v>
      </c>
    </row>
    <row r="627" spans="1:15" x14ac:dyDescent="0.25">
      <c r="A627" s="35"/>
      <c r="B627" s="35" t="s">
        <v>284</v>
      </c>
      <c r="C627" s="35" t="s">
        <v>306</v>
      </c>
      <c r="D627" s="36">
        <v>3</v>
      </c>
      <c r="E627" s="36">
        <v>0</v>
      </c>
      <c r="F627" s="36">
        <v>3</v>
      </c>
      <c r="G627" s="36">
        <v>0</v>
      </c>
      <c r="H627" s="36">
        <v>3</v>
      </c>
      <c r="I627" s="36">
        <v>0</v>
      </c>
      <c r="J627" s="37">
        <f t="shared" si="59"/>
        <v>9</v>
      </c>
      <c r="K627" s="37">
        <f t="shared" si="60"/>
        <v>0</v>
      </c>
      <c r="L627" s="38">
        <f t="shared" ref="L627:L633" si="66">K627/J627</f>
        <v>0</v>
      </c>
      <c r="M627" s="39" t="str">
        <f t="shared" si="61"/>
        <v>0,5</v>
      </c>
      <c r="N627" s="35" t="str">
        <f t="shared" si="62"/>
        <v>Cukup</v>
      </c>
      <c r="O627" s="35" t="str">
        <f t="shared" si="63"/>
        <v>Terlampir Pada LHE ZI</v>
      </c>
    </row>
    <row r="628" spans="1:15" x14ac:dyDescent="0.25">
      <c r="A628" s="35"/>
      <c r="B628" s="35" t="s">
        <v>285</v>
      </c>
      <c r="C628" s="35" t="s">
        <v>306</v>
      </c>
      <c r="D628" s="36">
        <v>4</v>
      </c>
      <c r="E628" s="36">
        <v>0</v>
      </c>
      <c r="F628" s="36">
        <v>5</v>
      </c>
      <c r="G628" s="36">
        <v>1</v>
      </c>
      <c r="H628" s="36">
        <v>2</v>
      </c>
      <c r="I628" s="36">
        <v>0</v>
      </c>
      <c r="J628" s="37">
        <f t="shared" si="59"/>
        <v>11</v>
      </c>
      <c r="K628" s="37">
        <f t="shared" si="60"/>
        <v>1</v>
      </c>
      <c r="L628" s="38">
        <f t="shared" si="66"/>
        <v>9.0909090909090912E-2</v>
      </c>
      <c r="M628" s="39" t="str">
        <f t="shared" si="61"/>
        <v>0,75</v>
      </c>
      <c r="N628" s="35" t="str">
        <f t="shared" si="62"/>
        <v>Baik</v>
      </c>
      <c r="O628" s="35" t="str">
        <f t="shared" si="63"/>
        <v>Terlampir Pada LHE ZI</v>
      </c>
    </row>
    <row r="629" spans="1:15" x14ac:dyDescent="0.25">
      <c r="A629" s="35"/>
      <c r="B629" s="35" t="s">
        <v>298</v>
      </c>
      <c r="C629" s="35" t="s">
        <v>306</v>
      </c>
      <c r="D629" s="36">
        <v>8</v>
      </c>
      <c r="E629" s="36">
        <v>11</v>
      </c>
      <c r="F629" s="36">
        <v>6</v>
      </c>
      <c r="G629" s="36">
        <v>0</v>
      </c>
      <c r="H629" s="36">
        <v>11</v>
      </c>
      <c r="I629" s="36">
        <v>3.5</v>
      </c>
      <c r="J629" s="37">
        <f t="shared" si="59"/>
        <v>25</v>
      </c>
      <c r="K629" s="37">
        <f>E629+G629+(5/2)+1</f>
        <v>14.5</v>
      </c>
      <c r="L629" s="38">
        <f t="shared" si="66"/>
        <v>0.57999999999999996</v>
      </c>
      <c r="M629" s="39" t="str">
        <f t="shared" si="61"/>
        <v>2</v>
      </c>
      <c r="N629" s="35" t="str">
        <f t="shared" si="62"/>
        <v>Memuaskan</v>
      </c>
      <c r="O629" s="35" t="str">
        <f t="shared" si="63"/>
        <v>Terlampir Pada LHE ZI</v>
      </c>
    </row>
    <row r="630" spans="1:15" x14ac:dyDescent="0.25">
      <c r="A630" s="35"/>
      <c r="B630" s="35" t="s">
        <v>287</v>
      </c>
      <c r="C630" s="35" t="s">
        <v>306</v>
      </c>
      <c r="D630" s="36">
        <v>10</v>
      </c>
      <c r="E630" s="36">
        <v>4</v>
      </c>
      <c r="F630" s="36">
        <v>28</v>
      </c>
      <c r="G630" s="36">
        <v>5</v>
      </c>
      <c r="H630" s="36">
        <v>13</v>
      </c>
      <c r="I630" s="36">
        <v>6</v>
      </c>
      <c r="J630" s="37">
        <f t="shared" si="59"/>
        <v>51</v>
      </c>
      <c r="K630" s="37">
        <f t="shared" si="60"/>
        <v>15</v>
      </c>
      <c r="L630" s="38">
        <f t="shared" si="66"/>
        <v>0.29411764705882354</v>
      </c>
      <c r="M630" s="39" t="str">
        <f t="shared" si="61"/>
        <v>1</v>
      </c>
      <c r="N630" s="35" t="str">
        <f t="shared" si="62"/>
        <v>Sangat Baik</v>
      </c>
      <c r="O630" s="35" t="str">
        <f t="shared" si="63"/>
        <v>Terlampir Pada LHE ZI</v>
      </c>
    </row>
    <row r="631" spans="1:15" x14ac:dyDescent="0.25">
      <c r="A631" s="35"/>
      <c r="B631" s="35" t="s">
        <v>288</v>
      </c>
      <c r="C631" s="35" t="s">
        <v>306</v>
      </c>
      <c r="D631" s="36">
        <v>10</v>
      </c>
      <c r="E631" s="36">
        <v>1</v>
      </c>
      <c r="F631" s="36">
        <v>17</v>
      </c>
      <c r="G631" s="36">
        <v>0</v>
      </c>
      <c r="H631" s="36">
        <v>16</v>
      </c>
      <c r="I631" s="36">
        <v>3</v>
      </c>
      <c r="J631" s="37">
        <f t="shared" si="59"/>
        <v>43</v>
      </c>
      <c r="K631" s="37">
        <f t="shared" si="60"/>
        <v>4</v>
      </c>
      <c r="L631" s="38">
        <f t="shared" si="66"/>
        <v>9.3023255813953487E-2</v>
      </c>
      <c r="M631" s="39" t="str">
        <f t="shared" si="61"/>
        <v>0,75</v>
      </c>
      <c r="N631" s="35" t="str">
        <f t="shared" si="62"/>
        <v>Baik</v>
      </c>
      <c r="O631" s="35" t="str">
        <f t="shared" si="63"/>
        <v>Terlampir Pada LHE ZI</v>
      </c>
    </row>
    <row r="632" spans="1:15" x14ac:dyDescent="0.25">
      <c r="A632" s="35"/>
      <c r="B632" s="35" t="s">
        <v>328</v>
      </c>
      <c r="C632" s="35" t="s">
        <v>306</v>
      </c>
      <c r="D632" s="36">
        <v>2</v>
      </c>
      <c r="E632" s="36">
        <v>1</v>
      </c>
      <c r="F632" s="36">
        <v>2</v>
      </c>
      <c r="G632" s="36">
        <v>1</v>
      </c>
      <c r="H632" s="36">
        <v>0</v>
      </c>
      <c r="I632" s="36">
        <v>0</v>
      </c>
      <c r="J632" s="37">
        <f t="shared" si="59"/>
        <v>4</v>
      </c>
      <c r="K632" s="37">
        <f t="shared" si="60"/>
        <v>2</v>
      </c>
      <c r="L632" s="38">
        <f t="shared" si="66"/>
        <v>0.5</v>
      </c>
      <c r="M632" s="39" t="str">
        <f t="shared" si="61"/>
        <v>2</v>
      </c>
      <c r="N632" s="35" t="str">
        <f t="shared" si="62"/>
        <v>Memuaskan</v>
      </c>
      <c r="O632" s="35" t="str">
        <f t="shared" si="63"/>
        <v>Terlampir Pada LHE ZI</v>
      </c>
    </row>
    <row r="633" spans="1:15" x14ac:dyDescent="0.25">
      <c r="A633" s="35"/>
      <c r="B633" s="35" t="s">
        <v>289</v>
      </c>
      <c r="C633" s="35" t="s">
        <v>306</v>
      </c>
      <c r="D633" s="36">
        <v>3</v>
      </c>
      <c r="E633" s="36">
        <v>1</v>
      </c>
      <c r="F633" s="36">
        <v>4</v>
      </c>
      <c r="G633" s="36">
        <v>0</v>
      </c>
      <c r="H633" s="36">
        <v>5</v>
      </c>
      <c r="I633" s="36">
        <v>0</v>
      </c>
      <c r="J633" s="37">
        <f t="shared" si="59"/>
        <v>12</v>
      </c>
      <c r="K633" s="37">
        <f t="shared" si="60"/>
        <v>1</v>
      </c>
      <c r="L633" s="38">
        <f t="shared" si="66"/>
        <v>8.3333333333333329E-2</v>
      </c>
      <c r="M633" s="39" t="str">
        <f t="shared" si="61"/>
        <v>0,75</v>
      </c>
      <c r="N633" s="35" t="str">
        <f t="shared" si="62"/>
        <v>Baik</v>
      </c>
      <c r="O633" s="35" t="str">
        <f t="shared" si="63"/>
        <v>Terlampir Pada LHE ZI</v>
      </c>
    </row>
    <row r="634" spans="1:15" x14ac:dyDescent="0.25">
      <c r="A634" s="35"/>
      <c r="B634" s="35" t="s">
        <v>346</v>
      </c>
      <c r="C634" s="35" t="s">
        <v>306</v>
      </c>
      <c r="D634" s="36">
        <v>0</v>
      </c>
      <c r="E634" s="36">
        <v>0</v>
      </c>
      <c r="F634" s="36">
        <v>0</v>
      </c>
      <c r="G634" s="36">
        <v>0</v>
      </c>
      <c r="H634" s="36">
        <v>0</v>
      </c>
      <c r="I634" s="36">
        <v>0</v>
      </c>
      <c r="J634" s="37">
        <f t="shared" si="59"/>
        <v>0</v>
      </c>
      <c r="K634" s="37">
        <f t="shared" si="60"/>
        <v>0</v>
      </c>
      <c r="L634" s="38" t="e">
        <v>#DIV/0!</v>
      </c>
      <c r="M634" s="39">
        <v>0</v>
      </c>
      <c r="N634" s="35" t="str">
        <f t="shared" si="62"/>
        <v>Kurang</v>
      </c>
      <c r="O634" s="35" t="str">
        <f t="shared" si="63"/>
        <v>Isi Rekomendasi</v>
      </c>
    </row>
    <row r="635" spans="1:15" x14ac:dyDescent="0.25">
      <c r="A635" s="35"/>
      <c r="B635" s="35" t="s">
        <v>290</v>
      </c>
      <c r="C635" s="35" t="s">
        <v>306</v>
      </c>
      <c r="D635" s="36">
        <v>0</v>
      </c>
      <c r="E635" s="36">
        <v>0</v>
      </c>
      <c r="F635" s="36">
        <v>0</v>
      </c>
      <c r="G635" s="36">
        <v>0</v>
      </c>
      <c r="H635" s="36">
        <v>4</v>
      </c>
      <c r="I635" s="36">
        <v>0</v>
      </c>
      <c r="J635" s="37">
        <f t="shared" si="59"/>
        <v>4</v>
      </c>
      <c r="K635" s="37">
        <f t="shared" si="60"/>
        <v>0</v>
      </c>
      <c r="L635" s="38">
        <f>K635/J635</f>
        <v>0</v>
      </c>
      <c r="M635" s="39" t="str">
        <f t="shared" si="61"/>
        <v>0,5</v>
      </c>
      <c r="N635" s="35" t="str">
        <f t="shared" si="62"/>
        <v>Cukup</v>
      </c>
      <c r="O635" s="35" t="str">
        <f t="shared" si="63"/>
        <v>Terlampir Pada LHE ZI</v>
      </c>
    </row>
    <row r="636" spans="1:15" x14ac:dyDescent="0.25">
      <c r="A636" s="35"/>
      <c r="B636" s="35" t="s">
        <v>291</v>
      </c>
      <c r="C636" s="35" t="s">
        <v>306</v>
      </c>
      <c r="D636" s="36">
        <v>0</v>
      </c>
      <c r="E636" s="36">
        <v>0</v>
      </c>
      <c r="F636" s="36">
        <v>5</v>
      </c>
      <c r="G636" s="36">
        <v>0</v>
      </c>
      <c r="H636" s="36">
        <v>6</v>
      </c>
      <c r="I636" s="36">
        <v>0</v>
      </c>
      <c r="J636" s="37">
        <f t="shared" si="59"/>
        <v>11</v>
      </c>
      <c r="K636" s="37">
        <f t="shared" si="60"/>
        <v>0</v>
      </c>
      <c r="L636" s="38">
        <f>K636/J636</f>
        <v>0</v>
      </c>
      <c r="M636" s="39" t="str">
        <f t="shared" si="61"/>
        <v>0,5</v>
      </c>
      <c r="N636" s="35" t="str">
        <f t="shared" si="62"/>
        <v>Cukup</v>
      </c>
      <c r="O636" s="35" t="str">
        <f t="shared" si="63"/>
        <v>Terlampir Pada LHE ZI</v>
      </c>
    </row>
    <row r="637" spans="1:15" x14ac:dyDescent="0.25">
      <c r="A637" s="35"/>
      <c r="B637" s="35" t="s">
        <v>692</v>
      </c>
      <c r="C637" s="35" t="s">
        <v>307</v>
      </c>
      <c r="D637" s="36">
        <v>0</v>
      </c>
      <c r="E637" s="36">
        <v>0</v>
      </c>
      <c r="F637" s="36">
        <v>0</v>
      </c>
      <c r="G637" s="36">
        <v>0</v>
      </c>
      <c r="H637" s="36">
        <v>0</v>
      </c>
      <c r="I637" s="36">
        <v>0</v>
      </c>
      <c r="J637" s="37">
        <f t="shared" si="59"/>
        <v>0</v>
      </c>
      <c r="K637" s="37">
        <f t="shared" si="60"/>
        <v>0</v>
      </c>
      <c r="L637" s="38" t="e">
        <v>#DIV/0!</v>
      </c>
      <c r="M637" s="39">
        <v>0</v>
      </c>
      <c r="N637" s="35" t="str">
        <f t="shared" si="62"/>
        <v>Kurang</v>
      </c>
      <c r="O637" s="35" t="str">
        <f t="shared" si="63"/>
        <v>Isi Rekomendasi</v>
      </c>
    </row>
    <row r="638" spans="1:15" x14ac:dyDescent="0.25">
      <c r="A638" s="35"/>
      <c r="B638" s="35" t="s">
        <v>693</v>
      </c>
      <c r="C638" s="35" t="s">
        <v>307</v>
      </c>
      <c r="D638" s="36">
        <v>0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7">
        <f t="shared" si="59"/>
        <v>0</v>
      </c>
      <c r="K638" s="37">
        <f t="shared" si="60"/>
        <v>0</v>
      </c>
      <c r="L638" s="38" t="e">
        <v>#DIV/0!</v>
      </c>
      <c r="M638" s="39">
        <v>0</v>
      </c>
      <c r="N638" s="35" t="str">
        <f t="shared" si="62"/>
        <v>Kurang</v>
      </c>
      <c r="O638" s="35" t="str">
        <f t="shared" si="63"/>
        <v>Isi Rekomendasi</v>
      </c>
    </row>
    <row r="639" spans="1:15" x14ac:dyDescent="0.25">
      <c r="A639" s="35"/>
      <c r="B639" s="35" t="s">
        <v>694</v>
      </c>
      <c r="C639" s="35" t="s">
        <v>307</v>
      </c>
      <c r="D639" s="36">
        <v>0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7">
        <f t="shared" si="59"/>
        <v>0</v>
      </c>
      <c r="K639" s="37">
        <f t="shared" si="60"/>
        <v>0</v>
      </c>
      <c r="L639" s="38" t="e">
        <v>#DIV/0!</v>
      </c>
      <c r="M639" s="39">
        <v>0</v>
      </c>
      <c r="N639" s="35" t="str">
        <f t="shared" si="62"/>
        <v>Kurang</v>
      </c>
      <c r="O639" s="35" t="str">
        <f t="shared" si="63"/>
        <v>Isi Rekomendasi</v>
      </c>
    </row>
    <row r="640" spans="1:15" x14ac:dyDescent="0.25">
      <c r="A640" s="35"/>
      <c r="B640" s="35" t="s">
        <v>695</v>
      </c>
      <c r="C640" s="35" t="s">
        <v>307</v>
      </c>
      <c r="D640" s="36">
        <v>0</v>
      </c>
      <c r="E640" s="36">
        <v>0</v>
      </c>
      <c r="F640" s="36">
        <v>0</v>
      </c>
      <c r="G640" s="36">
        <v>0</v>
      </c>
      <c r="H640" s="36">
        <v>0</v>
      </c>
      <c r="I640" s="36">
        <v>0</v>
      </c>
      <c r="J640" s="37">
        <f t="shared" si="59"/>
        <v>0</v>
      </c>
      <c r="K640" s="37">
        <f t="shared" si="60"/>
        <v>0</v>
      </c>
      <c r="L640" s="38" t="e">
        <v>#DIV/0!</v>
      </c>
      <c r="M640" s="39">
        <v>0</v>
      </c>
      <c r="N640" s="35" t="str">
        <f t="shared" si="62"/>
        <v>Kurang</v>
      </c>
      <c r="O640" s="35" t="str">
        <f t="shared" si="63"/>
        <v>Isi Rekomendasi</v>
      </c>
    </row>
    <row r="641" spans="1:15" x14ac:dyDescent="0.25">
      <c r="A641" s="35"/>
      <c r="B641" s="35" t="s">
        <v>696</v>
      </c>
      <c r="C641" s="35" t="s">
        <v>307</v>
      </c>
      <c r="D641" s="36">
        <v>0</v>
      </c>
      <c r="E641" s="36">
        <v>0</v>
      </c>
      <c r="F641" s="36">
        <v>0</v>
      </c>
      <c r="G641" s="36">
        <v>0</v>
      </c>
      <c r="H641" s="36">
        <v>0</v>
      </c>
      <c r="I641" s="36">
        <v>0</v>
      </c>
      <c r="J641" s="37">
        <f t="shared" si="59"/>
        <v>0</v>
      </c>
      <c r="K641" s="37">
        <f t="shared" si="60"/>
        <v>0</v>
      </c>
      <c r="L641" s="38" t="e">
        <v>#DIV/0!</v>
      </c>
      <c r="M641" s="39">
        <v>0</v>
      </c>
      <c r="N641" s="35" t="str">
        <f t="shared" si="62"/>
        <v>Kurang</v>
      </c>
      <c r="O641" s="35" t="str">
        <f t="shared" si="63"/>
        <v>Isi Rekomendasi</v>
      </c>
    </row>
    <row r="642" spans="1:15" x14ac:dyDescent="0.25">
      <c r="A642" s="35"/>
      <c r="B642" s="35" t="s">
        <v>697</v>
      </c>
      <c r="C642" s="35" t="s">
        <v>307</v>
      </c>
      <c r="D642" s="36">
        <v>0</v>
      </c>
      <c r="E642" s="36">
        <v>0</v>
      </c>
      <c r="F642" s="36">
        <v>0</v>
      </c>
      <c r="G642" s="36">
        <v>0</v>
      </c>
      <c r="H642" s="36">
        <v>0</v>
      </c>
      <c r="I642" s="36">
        <v>0</v>
      </c>
      <c r="J642" s="37">
        <f t="shared" si="59"/>
        <v>0</v>
      </c>
      <c r="K642" s="37">
        <f t="shared" si="60"/>
        <v>0</v>
      </c>
      <c r="L642" s="38" t="e">
        <v>#DIV/0!</v>
      </c>
      <c r="M642" s="39">
        <v>0</v>
      </c>
      <c r="N642" s="35" t="str">
        <f t="shared" si="62"/>
        <v>Kurang</v>
      </c>
      <c r="O642" s="35" t="str">
        <f t="shared" si="63"/>
        <v>Isi Rekomendasi</v>
      </c>
    </row>
    <row r="643" spans="1:15" x14ac:dyDescent="0.25">
      <c r="A643" s="35"/>
      <c r="B643" s="35" t="s">
        <v>698</v>
      </c>
      <c r="C643" s="35" t="s">
        <v>307</v>
      </c>
      <c r="D643" s="36">
        <v>0</v>
      </c>
      <c r="E643" s="36">
        <v>0</v>
      </c>
      <c r="F643" s="36">
        <v>0</v>
      </c>
      <c r="G643" s="36">
        <v>0</v>
      </c>
      <c r="H643" s="36">
        <v>0</v>
      </c>
      <c r="I643" s="36">
        <v>0</v>
      </c>
      <c r="J643" s="37">
        <f t="shared" si="59"/>
        <v>0</v>
      </c>
      <c r="K643" s="37">
        <f t="shared" si="60"/>
        <v>0</v>
      </c>
      <c r="L643" s="38" t="e">
        <v>#DIV/0!</v>
      </c>
      <c r="M643" s="39">
        <v>0</v>
      </c>
      <c r="N643" s="35" t="str">
        <f t="shared" si="62"/>
        <v>Kurang</v>
      </c>
      <c r="O643" s="35" t="str">
        <f t="shared" si="63"/>
        <v>Isi Rekomendasi</v>
      </c>
    </row>
    <row r="644" spans="1:15" x14ac:dyDescent="0.25">
      <c r="A644" s="35"/>
      <c r="B644" s="35" t="s">
        <v>699</v>
      </c>
      <c r="C644" s="35" t="s">
        <v>307</v>
      </c>
      <c r="D644" s="36">
        <v>0</v>
      </c>
      <c r="E644" s="36">
        <v>0</v>
      </c>
      <c r="F644" s="36">
        <v>0</v>
      </c>
      <c r="G644" s="36">
        <v>0</v>
      </c>
      <c r="H644" s="36">
        <v>0</v>
      </c>
      <c r="I644" s="36">
        <v>0</v>
      </c>
      <c r="J644" s="37">
        <f t="shared" ref="J644:J650" si="67">D644+F644+H644</f>
        <v>0</v>
      </c>
      <c r="K644" s="37">
        <f t="shared" ref="K644:K650" si="68">E644+G644+I644</f>
        <v>0</v>
      </c>
      <c r="L644" s="38" t="e">
        <v>#DIV/0!</v>
      </c>
      <c r="M644" s="39">
        <v>0</v>
      </c>
      <c r="N644" s="35" t="str">
        <f t="shared" ref="N644:N650" si="69">_xlfn.IFS(AND(C644="KL",M644="3"),"Sangat Memuaskan",AND(C644="Pemda",M644="3,5"),"Sangat Memuaskan",AND(C644="KL",M644="2"),"Memuaskan",AND(C644="Pemda",M644="2,5"),"Memuaskan",AND(C644="KL",M644="1"),"Sangat Baik",AND(C644="Pemda",M644="1,5"),"Sangat Baik",AND(C644="KL",M644="0,75"),"Baik",AND(C644="Pemda",M644="0,75"),"Baik",AND(C644="KL",M644="0,5"),"Cukup",AND(C644="Pemda",M644="0,5"),"Cukup",AND(C644="KL",M644&lt;0.5),"Kurang",AND(C644="Pemda",M644&lt;0.5),"Kurang")</f>
        <v>Kurang</v>
      </c>
      <c r="O644" s="35" t="str">
        <f t="shared" ref="O644:O650" si="70">IF(N644="Kurang","Isi Rekomendasi","Terlampir Pada LHE ZI")</f>
        <v>Isi Rekomendasi</v>
      </c>
    </row>
    <row r="645" spans="1:15" x14ac:dyDescent="0.25">
      <c r="A645" s="35"/>
      <c r="B645" s="35" t="s">
        <v>700</v>
      </c>
      <c r="C645" s="35" t="s">
        <v>307</v>
      </c>
      <c r="D645" s="36">
        <v>0</v>
      </c>
      <c r="E645" s="36">
        <v>0</v>
      </c>
      <c r="F645" s="36">
        <v>0</v>
      </c>
      <c r="G645" s="36">
        <v>0</v>
      </c>
      <c r="H645" s="36">
        <v>0</v>
      </c>
      <c r="I645" s="36">
        <v>0</v>
      </c>
      <c r="J645" s="37">
        <f t="shared" si="67"/>
        <v>0</v>
      </c>
      <c r="K645" s="37">
        <f t="shared" si="68"/>
        <v>0</v>
      </c>
      <c r="L645" s="38" t="e">
        <v>#DIV/0!</v>
      </c>
      <c r="M645" s="39">
        <v>0</v>
      </c>
      <c r="N645" s="35" t="str">
        <f t="shared" si="69"/>
        <v>Kurang</v>
      </c>
      <c r="O645" s="35" t="str">
        <f t="shared" si="70"/>
        <v>Isi Rekomendasi</v>
      </c>
    </row>
    <row r="646" spans="1:15" x14ac:dyDescent="0.25">
      <c r="A646" s="35"/>
      <c r="B646" s="35" t="s">
        <v>701</v>
      </c>
      <c r="C646" s="35" t="s">
        <v>307</v>
      </c>
      <c r="D646" s="36">
        <v>0</v>
      </c>
      <c r="E646" s="36">
        <v>0</v>
      </c>
      <c r="F646" s="36">
        <v>0</v>
      </c>
      <c r="G646" s="36">
        <v>0</v>
      </c>
      <c r="H646" s="36">
        <v>0</v>
      </c>
      <c r="I646" s="36">
        <v>0</v>
      </c>
      <c r="J646" s="37">
        <f t="shared" si="67"/>
        <v>0</v>
      </c>
      <c r="K646" s="37">
        <f t="shared" si="68"/>
        <v>0</v>
      </c>
      <c r="L646" s="38" t="e">
        <v>#DIV/0!</v>
      </c>
      <c r="M646" s="39">
        <v>0</v>
      </c>
      <c r="N646" s="35" t="str">
        <f t="shared" si="69"/>
        <v>Kurang</v>
      </c>
      <c r="O646" s="35" t="str">
        <f t="shared" si="70"/>
        <v>Isi Rekomendasi</v>
      </c>
    </row>
    <row r="647" spans="1:15" x14ac:dyDescent="0.25">
      <c r="A647" s="35"/>
      <c r="B647" s="35" t="s">
        <v>702</v>
      </c>
      <c r="C647" s="35" t="s">
        <v>307</v>
      </c>
      <c r="D647" s="36">
        <v>0</v>
      </c>
      <c r="E647" s="36">
        <v>0</v>
      </c>
      <c r="F647" s="36">
        <v>0</v>
      </c>
      <c r="G647" s="36">
        <v>0</v>
      </c>
      <c r="H647" s="36">
        <v>0</v>
      </c>
      <c r="I647" s="36">
        <v>0</v>
      </c>
      <c r="J647" s="37">
        <f t="shared" si="67"/>
        <v>0</v>
      </c>
      <c r="K647" s="37">
        <f t="shared" si="68"/>
        <v>0</v>
      </c>
      <c r="L647" s="38" t="e">
        <v>#DIV/0!</v>
      </c>
      <c r="M647" s="39">
        <v>0</v>
      </c>
      <c r="N647" s="35" t="str">
        <f t="shared" si="69"/>
        <v>Kurang</v>
      </c>
      <c r="O647" s="35" t="str">
        <f t="shared" si="70"/>
        <v>Isi Rekomendasi</v>
      </c>
    </row>
    <row r="648" spans="1:15" x14ac:dyDescent="0.25">
      <c r="A648" s="35"/>
      <c r="B648" s="35" t="s">
        <v>703</v>
      </c>
      <c r="C648" s="35" t="s">
        <v>307</v>
      </c>
      <c r="D648" s="36">
        <v>0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7">
        <f t="shared" si="67"/>
        <v>0</v>
      </c>
      <c r="K648" s="37">
        <f t="shared" si="68"/>
        <v>0</v>
      </c>
      <c r="L648" s="38" t="e">
        <v>#DIV/0!</v>
      </c>
      <c r="M648" s="39">
        <v>0</v>
      </c>
      <c r="N648" s="35" t="str">
        <f t="shared" si="69"/>
        <v>Kurang</v>
      </c>
      <c r="O648" s="35" t="str">
        <f t="shared" si="70"/>
        <v>Isi Rekomendasi</v>
      </c>
    </row>
    <row r="649" spans="1:15" x14ac:dyDescent="0.25">
      <c r="A649" s="35"/>
      <c r="B649" s="35" t="s">
        <v>704</v>
      </c>
      <c r="C649" s="35" t="s">
        <v>307</v>
      </c>
      <c r="D649" s="36">
        <v>0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7">
        <f t="shared" si="67"/>
        <v>0</v>
      </c>
      <c r="K649" s="37">
        <f t="shared" si="68"/>
        <v>0</v>
      </c>
      <c r="L649" s="38" t="e">
        <v>#DIV/0!</v>
      </c>
      <c r="M649" s="39">
        <v>0</v>
      </c>
      <c r="N649" s="35" t="str">
        <f t="shared" si="69"/>
        <v>Kurang</v>
      </c>
      <c r="O649" s="35" t="str">
        <f t="shared" si="70"/>
        <v>Isi Rekomendasi</v>
      </c>
    </row>
    <row r="650" spans="1:15" x14ac:dyDescent="0.25">
      <c r="A650" s="35"/>
      <c r="B650" s="35" t="s">
        <v>705</v>
      </c>
      <c r="C650" s="35" t="s">
        <v>307</v>
      </c>
      <c r="D650" s="36">
        <v>0</v>
      </c>
      <c r="E650" s="36">
        <v>0</v>
      </c>
      <c r="F650" s="36">
        <v>0</v>
      </c>
      <c r="G650" s="36">
        <v>0</v>
      </c>
      <c r="H650" s="36">
        <v>0</v>
      </c>
      <c r="I650" s="36">
        <v>0</v>
      </c>
      <c r="J650" s="37">
        <f t="shared" si="67"/>
        <v>0</v>
      </c>
      <c r="K650" s="37">
        <f t="shared" si="68"/>
        <v>0</v>
      </c>
      <c r="L650" s="38" t="e">
        <v>#DIV/0!</v>
      </c>
      <c r="M650" s="39">
        <v>0</v>
      </c>
      <c r="N650" s="35" t="str">
        <f t="shared" si="69"/>
        <v>Kurang</v>
      </c>
      <c r="O650" s="35" t="str">
        <f t="shared" si="70"/>
        <v>Isi Rekomendasi</v>
      </c>
    </row>
  </sheetData>
  <autoFilter ref="A2:O650" xr:uid="{2F4ED10A-A233-416D-BE21-0D4385384077}"/>
  <mergeCells count="10">
    <mergeCell ref="M1:M2"/>
    <mergeCell ref="N1:N2"/>
    <mergeCell ref="O1:O2"/>
    <mergeCell ref="A1:A2"/>
    <mergeCell ref="J1:L1"/>
    <mergeCell ref="D1:E1"/>
    <mergeCell ref="F1:G1"/>
    <mergeCell ref="H1:I1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 Meso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wahyu.kusuma.law@gmail.com</cp:lastModifiedBy>
  <dcterms:created xsi:type="dcterms:W3CDTF">2025-01-07T12:33:36Z</dcterms:created>
  <dcterms:modified xsi:type="dcterms:W3CDTF">2025-01-08T07:06:36Z</dcterms:modified>
</cp:coreProperties>
</file>